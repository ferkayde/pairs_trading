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c\Desktop\EC581 GEÇİCİ\"/>
    </mc:Choice>
  </mc:AlternateContent>
  <xr:revisionPtr revIDLastSave="0" documentId="13_ncr:10000001_{AB3B287F-FC3A-45A5-BA7E-40F048C405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&amp;J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3" i="2" l="1"/>
  <c r="F503" i="2" s="1"/>
  <c r="E504" i="2"/>
  <c r="F504" i="2" s="1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F510" i="2" s="1"/>
  <c r="E511" i="2"/>
  <c r="F511" i="2" s="1"/>
  <c r="E512" i="2"/>
  <c r="F512" i="2" s="1"/>
  <c r="E513" i="2"/>
  <c r="F513" i="2" s="1"/>
  <c r="E514" i="2"/>
  <c r="F514" i="2" s="1"/>
  <c r="E515" i="2"/>
  <c r="F515" i="2" s="1"/>
  <c r="E516" i="2"/>
  <c r="F516" i="2" s="1"/>
  <c r="E517" i="2"/>
  <c r="F517" i="2" s="1"/>
  <c r="E518" i="2"/>
  <c r="F518" i="2" s="1"/>
  <c r="E519" i="2"/>
  <c r="F519" i="2" s="1"/>
  <c r="E520" i="2"/>
  <c r="F520" i="2" s="1"/>
  <c r="E521" i="2"/>
  <c r="F521" i="2" s="1"/>
  <c r="E522" i="2"/>
  <c r="F522" i="2" s="1"/>
  <c r="E523" i="2"/>
  <c r="F523" i="2" s="1"/>
  <c r="E524" i="2"/>
  <c r="F524" i="2" s="1"/>
  <c r="E525" i="2"/>
  <c r="F525" i="2" s="1"/>
  <c r="E526" i="2"/>
  <c r="F526" i="2" s="1"/>
  <c r="E527" i="2"/>
  <c r="F527" i="2" s="1"/>
  <c r="E528" i="2"/>
  <c r="F528" i="2" s="1"/>
  <c r="E529" i="2"/>
  <c r="F529" i="2" s="1"/>
  <c r="E530" i="2"/>
  <c r="F530" i="2" s="1"/>
  <c r="E531" i="2"/>
  <c r="F531" i="2" s="1"/>
  <c r="E532" i="2"/>
  <c r="F532" i="2" s="1"/>
  <c r="E533" i="2"/>
  <c r="F533" i="2" s="1"/>
  <c r="E534" i="2"/>
  <c r="F534" i="2" s="1"/>
  <c r="E535" i="2"/>
  <c r="F535" i="2" s="1"/>
  <c r="E536" i="2"/>
  <c r="F536" i="2" s="1"/>
  <c r="E537" i="2"/>
  <c r="F537" i="2" s="1"/>
  <c r="E538" i="2"/>
  <c r="F538" i="2" s="1"/>
  <c r="E539" i="2"/>
  <c r="F539" i="2" s="1"/>
  <c r="E540" i="2"/>
  <c r="F540" i="2" s="1"/>
  <c r="E541" i="2"/>
  <c r="F541" i="2" s="1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F547" i="2" s="1"/>
  <c r="E548" i="2"/>
  <c r="F548" i="2" s="1"/>
  <c r="E549" i="2"/>
  <c r="F549" i="2" s="1"/>
  <c r="E550" i="2"/>
  <c r="F550" i="2" s="1"/>
  <c r="E551" i="2"/>
  <c r="F551" i="2" s="1"/>
  <c r="E552" i="2"/>
  <c r="F552" i="2" s="1"/>
  <c r="E553" i="2"/>
  <c r="F553" i="2" s="1"/>
  <c r="E554" i="2"/>
  <c r="F554" i="2" s="1"/>
  <c r="E555" i="2"/>
  <c r="F555" i="2" s="1"/>
  <c r="E556" i="2"/>
  <c r="F556" i="2" s="1"/>
  <c r="E557" i="2"/>
  <c r="F557" i="2" s="1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F563" i="2" s="1"/>
  <c r="E564" i="2"/>
  <c r="F564" i="2" s="1"/>
  <c r="E565" i="2"/>
  <c r="F565" i="2" s="1"/>
  <c r="E566" i="2"/>
  <c r="F566" i="2" s="1"/>
  <c r="E567" i="2"/>
  <c r="F567" i="2" s="1"/>
  <c r="E568" i="2"/>
  <c r="F568" i="2" s="1"/>
  <c r="E569" i="2"/>
  <c r="F569" i="2" s="1"/>
  <c r="E570" i="2"/>
  <c r="F570" i="2" s="1"/>
  <c r="E571" i="2"/>
  <c r="F571" i="2" s="1"/>
  <c r="E572" i="2"/>
  <c r="F572" i="2" s="1"/>
  <c r="E573" i="2"/>
  <c r="F573" i="2" s="1"/>
  <c r="E574" i="2"/>
  <c r="F574" i="2" s="1"/>
  <c r="E575" i="2"/>
  <c r="F575" i="2" s="1"/>
  <c r="E576" i="2"/>
  <c r="F576" i="2" s="1"/>
  <c r="E577" i="2"/>
  <c r="F577" i="2" s="1"/>
  <c r="E578" i="2"/>
  <c r="F578" i="2" s="1"/>
  <c r="E579" i="2"/>
  <c r="F579" i="2" s="1"/>
  <c r="E580" i="2"/>
  <c r="F580" i="2" s="1"/>
  <c r="E581" i="2"/>
  <c r="F581" i="2" s="1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F587" i="2" s="1"/>
  <c r="E588" i="2"/>
  <c r="F588" i="2" s="1"/>
  <c r="E589" i="2"/>
  <c r="F589" i="2" s="1"/>
  <c r="E590" i="2"/>
  <c r="F590" i="2" s="1"/>
  <c r="E591" i="2"/>
  <c r="F591" i="2" s="1"/>
  <c r="E592" i="2"/>
  <c r="F592" i="2" s="1"/>
  <c r="E593" i="2"/>
  <c r="F593" i="2" s="1"/>
  <c r="E594" i="2"/>
  <c r="F594" i="2" s="1"/>
  <c r="E595" i="2"/>
  <c r="F595" i="2" s="1"/>
  <c r="E596" i="2"/>
  <c r="F596" i="2" s="1"/>
  <c r="E597" i="2"/>
  <c r="F597" i="2" s="1"/>
  <c r="E598" i="2"/>
  <c r="F598" i="2" s="1"/>
  <c r="E599" i="2"/>
  <c r="F599" i="2" s="1"/>
  <c r="E600" i="2"/>
  <c r="F600" i="2" s="1"/>
  <c r="E601" i="2"/>
  <c r="F601" i="2" s="1"/>
  <c r="E602" i="2"/>
  <c r="F602" i="2" s="1"/>
  <c r="E603" i="2"/>
  <c r="F603" i="2" s="1"/>
  <c r="E604" i="2"/>
  <c r="F604" i="2" s="1"/>
  <c r="E605" i="2"/>
  <c r="F605" i="2" s="1"/>
  <c r="E606" i="2"/>
  <c r="F606" i="2" s="1"/>
  <c r="E607" i="2"/>
  <c r="F607" i="2" s="1"/>
  <c r="E608" i="2"/>
  <c r="F608" i="2" s="1"/>
  <c r="E609" i="2"/>
  <c r="F609" i="2" s="1"/>
  <c r="E610" i="2"/>
  <c r="F610" i="2" s="1"/>
  <c r="E611" i="2"/>
  <c r="F611" i="2" s="1"/>
  <c r="E612" i="2"/>
  <c r="F612" i="2" s="1"/>
  <c r="E613" i="2"/>
  <c r="F613" i="2" s="1"/>
  <c r="E614" i="2"/>
  <c r="F614" i="2" s="1"/>
  <c r="E615" i="2"/>
  <c r="F615" i="2" s="1"/>
  <c r="E616" i="2"/>
  <c r="F616" i="2" s="1"/>
  <c r="E617" i="2"/>
  <c r="F617" i="2" s="1"/>
  <c r="E618" i="2"/>
  <c r="F618" i="2" s="1"/>
  <c r="E619" i="2"/>
  <c r="F619" i="2" s="1"/>
  <c r="E620" i="2"/>
  <c r="F620" i="2" s="1"/>
  <c r="E621" i="2"/>
  <c r="F621" i="2" s="1"/>
  <c r="E622" i="2"/>
  <c r="F622" i="2" s="1"/>
  <c r="E623" i="2"/>
  <c r="F623" i="2" s="1"/>
  <c r="E624" i="2"/>
  <c r="F624" i="2" s="1"/>
  <c r="E625" i="2"/>
  <c r="F625" i="2" s="1"/>
  <c r="E626" i="2"/>
  <c r="F626" i="2" s="1"/>
  <c r="E627" i="2"/>
  <c r="F627" i="2" s="1"/>
  <c r="E628" i="2"/>
  <c r="F628" i="2" s="1"/>
  <c r="E629" i="2"/>
  <c r="F629" i="2" s="1"/>
  <c r="E630" i="2"/>
  <c r="F630" i="2" s="1"/>
  <c r="E631" i="2"/>
  <c r="F631" i="2" s="1"/>
  <c r="E632" i="2"/>
  <c r="F632" i="2" s="1"/>
  <c r="E633" i="2"/>
  <c r="F633" i="2" s="1"/>
  <c r="E634" i="2"/>
  <c r="F634" i="2" s="1"/>
  <c r="E635" i="2"/>
  <c r="F635" i="2" s="1"/>
  <c r="E636" i="2"/>
  <c r="F636" i="2" s="1"/>
  <c r="E637" i="2"/>
  <c r="F637" i="2" s="1"/>
  <c r="E638" i="2"/>
  <c r="F638" i="2" s="1"/>
  <c r="E639" i="2"/>
  <c r="F639" i="2" s="1"/>
  <c r="E640" i="2"/>
  <c r="F640" i="2" s="1"/>
  <c r="E641" i="2"/>
  <c r="F641" i="2" s="1"/>
  <c r="E642" i="2"/>
  <c r="F642" i="2" s="1"/>
  <c r="E643" i="2"/>
  <c r="F643" i="2" s="1"/>
  <c r="E644" i="2"/>
  <c r="F644" i="2" s="1"/>
  <c r="E645" i="2"/>
  <c r="F645" i="2" s="1"/>
  <c r="E646" i="2"/>
  <c r="F646" i="2" s="1"/>
  <c r="E647" i="2"/>
  <c r="F647" i="2" s="1"/>
  <c r="E648" i="2"/>
  <c r="F648" i="2" s="1"/>
  <c r="E649" i="2"/>
  <c r="F649" i="2" s="1"/>
  <c r="E650" i="2"/>
  <c r="F650" i="2" s="1"/>
  <c r="E651" i="2"/>
  <c r="F651" i="2" s="1"/>
  <c r="E652" i="2"/>
  <c r="F652" i="2" s="1"/>
  <c r="E653" i="2"/>
  <c r="F653" i="2" s="1"/>
  <c r="E654" i="2"/>
  <c r="F654" i="2" s="1"/>
  <c r="E655" i="2"/>
  <c r="F655" i="2" s="1"/>
  <c r="E656" i="2"/>
  <c r="F656" i="2" s="1"/>
  <c r="E657" i="2"/>
  <c r="F657" i="2" s="1"/>
  <c r="E658" i="2"/>
  <c r="F658" i="2" s="1"/>
  <c r="E659" i="2"/>
  <c r="F659" i="2" s="1"/>
  <c r="E660" i="2"/>
  <c r="F660" i="2" s="1"/>
  <c r="E661" i="2"/>
  <c r="F661" i="2" s="1"/>
  <c r="E662" i="2"/>
  <c r="F662" i="2" s="1"/>
  <c r="E663" i="2"/>
  <c r="F663" i="2" s="1"/>
  <c r="E664" i="2"/>
  <c r="F664" i="2" s="1"/>
  <c r="E665" i="2"/>
  <c r="F665" i="2" s="1"/>
  <c r="E666" i="2"/>
  <c r="F666" i="2" s="1"/>
  <c r="E667" i="2"/>
  <c r="F667" i="2" s="1"/>
  <c r="E668" i="2"/>
  <c r="F668" i="2" s="1"/>
  <c r="E669" i="2"/>
  <c r="F669" i="2" s="1"/>
  <c r="E670" i="2"/>
  <c r="F670" i="2" s="1"/>
  <c r="E671" i="2"/>
  <c r="F671" i="2" s="1"/>
  <c r="E672" i="2"/>
  <c r="F672" i="2" s="1"/>
  <c r="E673" i="2"/>
  <c r="F673" i="2" s="1"/>
  <c r="E674" i="2"/>
  <c r="F674" i="2" s="1"/>
  <c r="E675" i="2"/>
  <c r="F675" i="2" s="1"/>
  <c r="E676" i="2"/>
  <c r="F676" i="2" s="1"/>
  <c r="E677" i="2"/>
  <c r="F677" i="2" s="1"/>
  <c r="E678" i="2"/>
  <c r="F678" i="2" s="1"/>
  <c r="E679" i="2"/>
  <c r="F679" i="2" s="1"/>
  <c r="E680" i="2"/>
  <c r="F680" i="2" s="1"/>
  <c r="E681" i="2"/>
  <c r="F681" i="2" s="1"/>
  <c r="E682" i="2"/>
  <c r="F682" i="2" s="1"/>
  <c r="E683" i="2"/>
  <c r="F683" i="2" s="1"/>
  <c r="E684" i="2"/>
  <c r="F684" i="2" s="1"/>
  <c r="E685" i="2"/>
  <c r="F685" i="2" s="1"/>
  <c r="E686" i="2"/>
  <c r="F686" i="2" s="1"/>
  <c r="E687" i="2"/>
  <c r="F687" i="2" s="1"/>
  <c r="E688" i="2"/>
  <c r="F688" i="2" s="1"/>
  <c r="E689" i="2"/>
  <c r="F689" i="2" s="1"/>
  <c r="E690" i="2"/>
  <c r="F690" i="2" s="1"/>
  <c r="E691" i="2"/>
  <c r="F691" i="2" s="1"/>
  <c r="E692" i="2"/>
  <c r="F692" i="2" s="1"/>
  <c r="E693" i="2"/>
  <c r="F693" i="2" s="1"/>
  <c r="E694" i="2"/>
  <c r="F694" i="2" s="1"/>
  <c r="E695" i="2"/>
  <c r="F695" i="2" s="1"/>
  <c r="E696" i="2"/>
  <c r="F696" i="2" s="1"/>
  <c r="E697" i="2"/>
  <c r="F697" i="2" s="1"/>
  <c r="E698" i="2"/>
  <c r="F698" i="2" s="1"/>
  <c r="E699" i="2"/>
  <c r="F699" i="2" s="1"/>
  <c r="E700" i="2"/>
  <c r="F700" i="2" s="1"/>
  <c r="E701" i="2"/>
  <c r="F701" i="2" s="1"/>
  <c r="E702" i="2"/>
  <c r="F702" i="2" s="1"/>
  <c r="E703" i="2"/>
  <c r="F703" i="2" s="1"/>
  <c r="E704" i="2"/>
  <c r="F704" i="2" s="1"/>
  <c r="E705" i="2"/>
  <c r="F705" i="2" s="1"/>
  <c r="E706" i="2"/>
  <c r="F706" i="2" s="1"/>
  <c r="E707" i="2"/>
  <c r="F707" i="2" s="1"/>
  <c r="E708" i="2"/>
  <c r="F708" i="2" s="1"/>
  <c r="E709" i="2"/>
  <c r="F709" i="2" s="1"/>
  <c r="E710" i="2"/>
  <c r="F710" i="2" s="1"/>
  <c r="E711" i="2"/>
  <c r="F711" i="2" s="1"/>
  <c r="E712" i="2"/>
  <c r="F712" i="2" s="1"/>
  <c r="E713" i="2"/>
  <c r="F713" i="2" s="1"/>
  <c r="E714" i="2"/>
  <c r="F714" i="2" s="1"/>
  <c r="E715" i="2"/>
  <c r="F715" i="2" s="1"/>
  <c r="E716" i="2"/>
  <c r="F716" i="2" s="1"/>
  <c r="E717" i="2"/>
  <c r="F717" i="2" s="1"/>
  <c r="E718" i="2"/>
  <c r="F718" i="2" s="1"/>
  <c r="E719" i="2"/>
  <c r="F719" i="2" s="1"/>
  <c r="E720" i="2"/>
  <c r="F720" i="2" s="1"/>
  <c r="E721" i="2"/>
  <c r="F721" i="2" s="1"/>
  <c r="E722" i="2"/>
  <c r="F722" i="2" s="1"/>
  <c r="E723" i="2"/>
  <c r="F723" i="2" s="1"/>
  <c r="E724" i="2"/>
  <c r="F724" i="2" s="1"/>
  <c r="E725" i="2"/>
  <c r="F725" i="2" s="1"/>
  <c r="E726" i="2"/>
  <c r="F726" i="2" s="1"/>
  <c r="E727" i="2"/>
  <c r="F727" i="2" s="1"/>
  <c r="E728" i="2"/>
  <c r="F728" i="2" s="1"/>
  <c r="E729" i="2"/>
  <c r="F729" i="2" s="1"/>
  <c r="E730" i="2"/>
  <c r="F730" i="2" s="1"/>
  <c r="E502" i="2"/>
  <c r="F50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F228" i="2" s="1"/>
  <c r="E229" i="2"/>
  <c r="F229" i="2" s="1"/>
  <c r="E230" i="2"/>
  <c r="F230" i="2" s="1"/>
  <c r="E231" i="2"/>
  <c r="F231" i="2" s="1"/>
  <c r="E232" i="2"/>
  <c r="F232" i="2" s="1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F244" i="2" s="1"/>
  <c r="E245" i="2"/>
  <c r="F245" i="2" s="1"/>
  <c r="E246" i="2"/>
  <c r="F246" i="2" s="1"/>
  <c r="E247" i="2"/>
  <c r="F247" i="2" s="1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F259" i="2" s="1"/>
  <c r="E260" i="2"/>
  <c r="F260" i="2" s="1"/>
  <c r="E261" i="2"/>
  <c r="F261" i="2" s="1"/>
  <c r="E262" i="2"/>
  <c r="F262" i="2" s="1"/>
  <c r="E263" i="2"/>
  <c r="F263" i="2" s="1"/>
  <c r="E264" i="2"/>
  <c r="F264" i="2" s="1"/>
  <c r="E265" i="2"/>
  <c r="F265" i="2" s="1"/>
  <c r="E266" i="2"/>
  <c r="F266" i="2" s="1"/>
  <c r="E267" i="2"/>
  <c r="F267" i="2" s="1"/>
  <c r="E268" i="2"/>
  <c r="F268" i="2" s="1"/>
  <c r="E269" i="2"/>
  <c r="F269" i="2" s="1"/>
  <c r="E270" i="2"/>
  <c r="F270" i="2" s="1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F276" i="2" s="1"/>
  <c r="E277" i="2"/>
  <c r="F277" i="2" s="1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F283" i="2" s="1"/>
  <c r="E284" i="2"/>
  <c r="F284" i="2" s="1"/>
  <c r="E285" i="2"/>
  <c r="F285" i="2" s="1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F291" i="2" s="1"/>
  <c r="E292" i="2"/>
  <c r="F292" i="2" s="1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F298" i="2" s="1"/>
  <c r="E299" i="2"/>
  <c r="F299" i="2" s="1"/>
  <c r="E300" i="2"/>
  <c r="F300" i="2" s="1"/>
  <c r="E301" i="2"/>
  <c r="F301" i="2" s="1"/>
  <c r="E302" i="2"/>
  <c r="F302" i="2" s="1"/>
  <c r="E303" i="2"/>
  <c r="F303" i="2" s="1"/>
  <c r="E304" i="2"/>
  <c r="F304" i="2" s="1"/>
  <c r="E305" i="2"/>
  <c r="F305" i="2" s="1"/>
  <c r="E306" i="2"/>
  <c r="F306" i="2" s="1"/>
  <c r="E307" i="2"/>
  <c r="F307" i="2" s="1"/>
  <c r="E308" i="2"/>
  <c r="F308" i="2" s="1"/>
  <c r="E309" i="2"/>
  <c r="F309" i="2" s="1"/>
  <c r="E310" i="2"/>
  <c r="F310" i="2" s="1"/>
  <c r="E311" i="2"/>
  <c r="F311" i="2" s="1"/>
  <c r="E312" i="2"/>
  <c r="F312" i="2" s="1"/>
  <c r="E313" i="2"/>
  <c r="F313" i="2" s="1"/>
  <c r="E314" i="2"/>
  <c r="F314" i="2" s="1"/>
  <c r="E315" i="2"/>
  <c r="F315" i="2" s="1"/>
  <c r="E316" i="2"/>
  <c r="F316" i="2" s="1"/>
  <c r="E317" i="2"/>
  <c r="F317" i="2" s="1"/>
  <c r="E318" i="2"/>
  <c r="F318" i="2" s="1"/>
  <c r="E319" i="2"/>
  <c r="F319" i="2" s="1"/>
  <c r="E320" i="2"/>
  <c r="F320" i="2" s="1"/>
  <c r="E321" i="2"/>
  <c r="F321" i="2" s="1"/>
  <c r="E322" i="2"/>
  <c r="F322" i="2" s="1"/>
  <c r="E323" i="2"/>
  <c r="F323" i="2" s="1"/>
  <c r="E324" i="2"/>
  <c r="F324" i="2" s="1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F339" i="2" s="1"/>
  <c r="E340" i="2"/>
  <c r="F340" i="2" s="1"/>
  <c r="E341" i="2"/>
  <c r="F341" i="2" s="1"/>
  <c r="E342" i="2"/>
  <c r="F342" i="2" s="1"/>
  <c r="E343" i="2"/>
  <c r="F343" i="2" s="1"/>
  <c r="E344" i="2"/>
  <c r="F344" i="2" s="1"/>
  <c r="E345" i="2"/>
  <c r="F345" i="2" s="1"/>
  <c r="E346" i="2"/>
  <c r="F346" i="2" s="1"/>
  <c r="E347" i="2"/>
  <c r="F347" i="2" s="1"/>
  <c r="E348" i="2"/>
  <c r="F348" i="2" s="1"/>
  <c r="E349" i="2"/>
  <c r="F349" i="2" s="1"/>
  <c r="E350" i="2"/>
  <c r="F350" i="2" s="1"/>
  <c r="E351" i="2"/>
  <c r="F351" i="2" s="1"/>
  <c r="E352" i="2"/>
  <c r="F352" i="2" s="1"/>
  <c r="E353" i="2"/>
  <c r="F353" i="2" s="1"/>
  <c r="E354" i="2"/>
  <c r="F354" i="2" s="1"/>
  <c r="E355" i="2"/>
  <c r="F355" i="2" s="1"/>
  <c r="E356" i="2"/>
  <c r="F356" i="2" s="1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 s="1"/>
  <c r="E364" i="2"/>
  <c r="F364" i="2" s="1"/>
  <c r="E365" i="2"/>
  <c r="F365" i="2" s="1"/>
  <c r="E366" i="2"/>
  <c r="F366" i="2" s="1"/>
  <c r="E367" i="2"/>
  <c r="F367" i="2" s="1"/>
  <c r="E368" i="2"/>
  <c r="F368" i="2" s="1"/>
  <c r="E369" i="2"/>
  <c r="F369" i="2" s="1"/>
  <c r="E370" i="2"/>
  <c r="F370" i="2" s="1"/>
  <c r="E371" i="2"/>
  <c r="F371" i="2" s="1"/>
  <c r="E372" i="2"/>
  <c r="F372" i="2" s="1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 s="1"/>
  <c r="E383" i="2"/>
  <c r="F383" i="2" s="1"/>
  <c r="E384" i="2"/>
  <c r="F384" i="2" s="1"/>
  <c r="E385" i="2"/>
  <c r="F385" i="2" s="1"/>
  <c r="E386" i="2"/>
  <c r="F386" i="2" s="1"/>
  <c r="E387" i="2"/>
  <c r="F387" i="2" s="1"/>
  <c r="E388" i="2"/>
  <c r="F388" i="2" s="1"/>
  <c r="E389" i="2"/>
  <c r="F389" i="2" s="1"/>
  <c r="E390" i="2"/>
  <c r="F390" i="2" s="1"/>
  <c r="E391" i="2"/>
  <c r="F391" i="2" s="1"/>
  <c r="E392" i="2"/>
  <c r="F392" i="2" s="1"/>
  <c r="E393" i="2"/>
  <c r="F393" i="2" s="1"/>
  <c r="E394" i="2"/>
  <c r="F394" i="2" s="1"/>
  <c r="E395" i="2"/>
  <c r="F395" i="2" s="1"/>
  <c r="E396" i="2"/>
  <c r="F396" i="2" s="1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 s="1"/>
  <c r="E403" i="2"/>
  <c r="F403" i="2" s="1"/>
  <c r="E404" i="2"/>
  <c r="F404" i="2" s="1"/>
  <c r="E405" i="2"/>
  <c r="F405" i="2" s="1"/>
  <c r="E406" i="2"/>
  <c r="F406" i="2" s="1"/>
  <c r="E407" i="2"/>
  <c r="F407" i="2" s="1"/>
  <c r="E408" i="2"/>
  <c r="F408" i="2" s="1"/>
  <c r="E409" i="2"/>
  <c r="F409" i="2" s="1"/>
  <c r="E410" i="2"/>
  <c r="F410" i="2" s="1"/>
  <c r="E411" i="2"/>
  <c r="F411" i="2" s="1"/>
  <c r="E412" i="2"/>
  <c r="F412" i="2" s="1"/>
  <c r="E413" i="2"/>
  <c r="F413" i="2" s="1"/>
  <c r="E414" i="2"/>
  <c r="F414" i="2" s="1"/>
  <c r="E415" i="2"/>
  <c r="F415" i="2" s="1"/>
  <c r="E416" i="2"/>
  <c r="F416" i="2" s="1"/>
  <c r="E417" i="2"/>
  <c r="F417" i="2" s="1"/>
  <c r="E418" i="2"/>
  <c r="F418" i="2" s="1"/>
  <c r="E419" i="2"/>
  <c r="F419" i="2" s="1"/>
  <c r="E420" i="2"/>
  <c r="F420" i="2" s="1"/>
  <c r="E421" i="2"/>
  <c r="F421" i="2" s="1"/>
  <c r="E422" i="2"/>
  <c r="F422" i="2" s="1"/>
  <c r="E423" i="2"/>
  <c r="F423" i="2" s="1"/>
  <c r="E424" i="2"/>
  <c r="F424" i="2" s="1"/>
  <c r="E425" i="2"/>
  <c r="F425" i="2" s="1"/>
  <c r="E426" i="2"/>
  <c r="F426" i="2" s="1"/>
  <c r="E427" i="2"/>
  <c r="F427" i="2" s="1"/>
  <c r="E428" i="2"/>
  <c r="F428" i="2" s="1"/>
  <c r="E429" i="2"/>
  <c r="F429" i="2" s="1"/>
  <c r="E430" i="2"/>
  <c r="F430" i="2" s="1"/>
  <c r="E431" i="2"/>
  <c r="F431" i="2" s="1"/>
  <c r="E432" i="2"/>
  <c r="F432" i="2" s="1"/>
  <c r="E433" i="2"/>
  <c r="F433" i="2" s="1"/>
  <c r="E434" i="2"/>
  <c r="F434" i="2" s="1"/>
  <c r="E435" i="2"/>
  <c r="F435" i="2" s="1"/>
  <c r="E436" i="2"/>
  <c r="F436" i="2" s="1"/>
  <c r="E437" i="2"/>
  <c r="F437" i="2" s="1"/>
  <c r="E438" i="2"/>
  <c r="F438" i="2" s="1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 s="1"/>
  <c r="E446" i="2"/>
  <c r="F446" i="2" s="1"/>
  <c r="E447" i="2"/>
  <c r="F447" i="2" s="1"/>
  <c r="E448" i="2"/>
  <c r="F448" i="2" s="1"/>
  <c r="E449" i="2"/>
  <c r="F449" i="2" s="1"/>
  <c r="E450" i="2"/>
  <c r="F450" i="2" s="1"/>
  <c r="E451" i="2"/>
  <c r="F451" i="2" s="1"/>
  <c r="E452" i="2"/>
  <c r="F452" i="2" s="1"/>
  <c r="E453" i="2"/>
  <c r="F453" i="2" s="1"/>
  <c r="E454" i="2"/>
  <c r="F454" i="2" s="1"/>
  <c r="E455" i="2"/>
  <c r="F455" i="2" s="1"/>
  <c r="E456" i="2"/>
  <c r="F456" i="2" s="1"/>
  <c r="E457" i="2"/>
  <c r="F457" i="2" s="1"/>
  <c r="E458" i="2"/>
  <c r="F458" i="2" s="1"/>
  <c r="E459" i="2"/>
  <c r="F459" i="2" s="1"/>
  <c r="E460" i="2"/>
  <c r="F460" i="2" s="1"/>
  <c r="E461" i="2"/>
  <c r="F461" i="2" s="1"/>
  <c r="E462" i="2"/>
  <c r="F462" i="2" s="1"/>
  <c r="E463" i="2"/>
  <c r="F463" i="2" s="1"/>
  <c r="E464" i="2"/>
  <c r="F464" i="2" s="1"/>
  <c r="E465" i="2"/>
  <c r="F465" i="2" s="1"/>
  <c r="E466" i="2"/>
  <c r="F466" i="2" s="1"/>
  <c r="E467" i="2"/>
  <c r="F467" i="2" s="1"/>
  <c r="E468" i="2"/>
  <c r="F468" i="2" s="1"/>
  <c r="E469" i="2"/>
  <c r="F469" i="2" s="1"/>
  <c r="E470" i="2"/>
  <c r="F470" i="2" s="1"/>
  <c r="E471" i="2"/>
  <c r="F471" i="2" s="1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F477" i="2" s="1"/>
  <c r="E478" i="2"/>
  <c r="F478" i="2" s="1"/>
  <c r="E479" i="2"/>
  <c r="F479" i="2" s="1"/>
  <c r="E480" i="2"/>
  <c r="F480" i="2" s="1"/>
  <c r="E481" i="2"/>
  <c r="F481" i="2" s="1"/>
  <c r="E482" i="2"/>
  <c r="F482" i="2" s="1"/>
  <c r="E483" i="2"/>
  <c r="F483" i="2" s="1"/>
  <c r="E484" i="2"/>
  <c r="F484" i="2" s="1"/>
  <c r="E485" i="2"/>
  <c r="F485" i="2" s="1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 s="1"/>
  <c r="E492" i="2"/>
  <c r="F492" i="2" s="1"/>
  <c r="E493" i="2"/>
  <c r="F493" i="2" s="1"/>
  <c r="E494" i="2"/>
  <c r="F494" i="2" s="1"/>
  <c r="E495" i="2"/>
  <c r="F495" i="2" s="1"/>
  <c r="E496" i="2"/>
  <c r="F496" i="2" s="1"/>
  <c r="E497" i="2"/>
  <c r="F497" i="2" s="1"/>
  <c r="E498" i="2"/>
  <c r="F498" i="2" s="1"/>
  <c r="E499" i="2"/>
  <c r="F499" i="2" s="1"/>
  <c r="E500" i="2"/>
  <c r="F500" i="2" s="1"/>
  <c r="E501" i="2"/>
  <c r="F501" i="2" s="1"/>
  <c r="E2" i="2"/>
  <c r="F2" i="2" s="1"/>
</calcChain>
</file>

<file path=xl/sharedStrings.xml><?xml version="1.0" encoding="utf-8"?>
<sst xmlns="http://schemas.openxmlformats.org/spreadsheetml/2006/main" count="2194" uniqueCount="987">
  <si>
    <t>Status</t>
  </si>
  <si>
    <t>Issuer</t>
  </si>
  <si>
    <t>Code</t>
  </si>
  <si>
    <t>Date</t>
  </si>
  <si>
    <t>Joiner</t>
  </si>
  <si>
    <t>Ekinciler Demir</t>
  </si>
  <si>
    <t xml:space="preserve">EKDMR.IS </t>
  </si>
  <si>
    <t>Agaoglu Avrasya</t>
  </si>
  <si>
    <t xml:space="preserve">AAGYO.IS </t>
  </si>
  <si>
    <t>Akhan Un</t>
  </si>
  <si>
    <t xml:space="preserve">AKHAN.IS </t>
  </si>
  <si>
    <t>Ata Turizm</t>
  </si>
  <si>
    <t xml:space="preserve">ATATR.IS </t>
  </si>
  <si>
    <t>Best Brands Grup</t>
  </si>
  <si>
    <t xml:space="preserve">BESTE.IS </t>
  </si>
  <si>
    <t>Empa Elektronik</t>
  </si>
  <si>
    <t xml:space="preserve">EMPAE.IS </t>
  </si>
  <si>
    <t>Gentas Kimya</t>
  </si>
  <si>
    <t xml:space="preserve">GENKM.IS </t>
  </si>
  <si>
    <t>Kuvva Gida</t>
  </si>
  <si>
    <t xml:space="preserve">KUVVA.IS </t>
  </si>
  <si>
    <t>Luxera</t>
  </si>
  <si>
    <t xml:space="preserve">LXGYO.IS </t>
  </si>
  <si>
    <t>Metropal Kurumsa</t>
  </si>
  <si>
    <t xml:space="preserve">MCARD.IS </t>
  </si>
  <si>
    <t>Netcad Yazilim</t>
  </si>
  <si>
    <t xml:space="preserve">NETCD.IS </t>
  </si>
  <si>
    <t>Savur Gayrimenku</t>
  </si>
  <si>
    <t xml:space="preserve">SVGYO.IS </t>
  </si>
  <si>
    <t>Leaver</t>
  </si>
  <si>
    <t>Yesil Yapi</t>
  </si>
  <si>
    <t xml:space="preserve">YYAPI.IS </t>
  </si>
  <si>
    <t>Ucay Muhendislik</t>
  </si>
  <si>
    <t xml:space="preserve">UCAYM.IS </t>
  </si>
  <si>
    <t>Formul Plastik</t>
  </si>
  <si>
    <t xml:space="preserve">FRMPL.IS </t>
  </si>
  <si>
    <t>Meysu Gida</t>
  </si>
  <si>
    <t xml:space="preserve">MEYSU.IS </t>
  </si>
  <si>
    <t>Z Gayrimenkul</t>
  </si>
  <si>
    <t xml:space="preserve">ZGYO.IS </t>
  </si>
  <si>
    <t>Arf Bio</t>
  </si>
  <si>
    <t xml:space="preserve">ARFYE.IS </t>
  </si>
  <si>
    <t>Zeray Gayrimenku</t>
  </si>
  <si>
    <t xml:space="preserve">ZERGY.IS </t>
  </si>
  <si>
    <t>Pasifik Holding</t>
  </si>
  <si>
    <t xml:space="preserve">PAHOL.IS </t>
  </si>
  <si>
    <t>Vakif Factoring</t>
  </si>
  <si>
    <t xml:space="preserve">VAKFA.IS </t>
  </si>
  <si>
    <t>Ecogreen Enerji</t>
  </si>
  <si>
    <t xml:space="preserve">ECOGR.IS </t>
  </si>
  <si>
    <t>Marmara Holding</t>
  </si>
  <si>
    <t xml:space="preserve">MARMR.IS </t>
  </si>
  <si>
    <t>Dof Robotik</t>
  </si>
  <si>
    <t xml:space="preserve">DOFRB.IS </t>
  </si>
  <si>
    <t>Ayes</t>
  </si>
  <si>
    <t xml:space="preserve">AYES.IS </t>
  </si>
  <si>
    <t>Balatacilar</t>
  </si>
  <si>
    <t xml:space="preserve">BALAT.IS </t>
  </si>
  <si>
    <t>Bastas Baskent</t>
  </si>
  <si>
    <t xml:space="preserve">BASCM.IS </t>
  </si>
  <si>
    <t>Cimentas</t>
  </si>
  <si>
    <t xml:space="preserve">CMENT.IS </t>
  </si>
  <si>
    <t>Innosa Teknoloji</t>
  </si>
  <si>
    <t xml:space="preserve">INTEK.IS </t>
  </si>
  <si>
    <t>Isbir Holding</t>
  </si>
  <si>
    <t xml:space="preserve">ISBIR.IS </t>
  </si>
  <si>
    <t>Kent Gida</t>
  </si>
  <si>
    <t xml:space="preserve">KENT.IS </t>
  </si>
  <si>
    <t>Kustur Kusadasi</t>
  </si>
  <si>
    <t xml:space="preserve">KSTUR.IS </t>
  </si>
  <si>
    <t>Orma</t>
  </si>
  <si>
    <t xml:space="preserve">ORMA.IS </t>
  </si>
  <si>
    <t>Qnb Bank Tr</t>
  </si>
  <si>
    <t xml:space="preserve">QNBTR.IS </t>
  </si>
  <si>
    <t>Qnb Finansal</t>
  </si>
  <si>
    <t xml:space="preserve">QNBFK.IS </t>
  </si>
  <si>
    <t>Sodas</t>
  </si>
  <si>
    <t xml:space="preserve">SODSN.IS </t>
  </si>
  <si>
    <t>Sonmez Pamuklu</t>
  </si>
  <si>
    <t xml:space="preserve">SNPAM.IS </t>
  </si>
  <si>
    <t>Sumas</t>
  </si>
  <si>
    <t xml:space="preserve">SUMAS.IS </t>
  </si>
  <si>
    <t>Turkiye Kalkinma</t>
  </si>
  <si>
    <t xml:space="preserve">KLNMA.IS </t>
  </si>
  <si>
    <t>Yibitas Yozgat</t>
  </si>
  <si>
    <t xml:space="preserve">YBTAS.IS </t>
  </si>
  <si>
    <t>Yonga</t>
  </si>
  <si>
    <t xml:space="preserve">YONGA.IS </t>
  </si>
  <si>
    <t>Akin Tekstil</t>
  </si>
  <si>
    <t xml:space="preserve">ATEKS.IS </t>
  </si>
  <si>
    <t>Balsu Gida</t>
  </si>
  <si>
    <t xml:space="preserve">BALSU.IS </t>
  </si>
  <si>
    <t>Bulls Girisim</t>
  </si>
  <si>
    <t xml:space="preserve">BULGS.IS </t>
  </si>
  <si>
    <t>Enda Enerji</t>
  </si>
  <si>
    <t xml:space="preserve">ENDAE.IS </t>
  </si>
  <si>
    <t>Kalyon Gunes</t>
  </si>
  <si>
    <t xml:space="preserve">KLYPV.IS </t>
  </si>
  <si>
    <t>Visne Madencilik</t>
  </si>
  <si>
    <t xml:space="preserve">VSNMD.IS </t>
  </si>
  <si>
    <t>Yesil GYO</t>
  </si>
  <si>
    <t>YGYO.IS^C26 (expired)</t>
  </si>
  <si>
    <t>Destek Finans</t>
  </si>
  <si>
    <t xml:space="preserve">DSTKF.IS </t>
  </si>
  <si>
    <t>Birlesim Grup</t>
  </si>
  <si>
    <t xml:space="preserve">BIGEN.IS </t>
  </si>
  <si>
    <t>Seranit Granit</t>
  </si>
  <si>
    <t xml:space="preserve">SERNT.IS </t>
  </si>
  <si>
    <t>Mopas</t>
  </si>
  <si>
    <t xml:space="preserve">MOPAS.IS </t>
  </si>
  <si>
    <t>Akfen Insaat</t>
  </si>
  <si>
    <t xml:space="preserve">AKFIS.IS </t>
  </si>
  <si>
    <t>Gulermak</t>
  </si>
  <si>
    <t xml:space="preserve">GLRMK.IS </t>
  </si>
  <si>
    <t>Egeyapi Avrupa</t>
  </si>
  <si>
    <t xml:space="preserve">EGEGY.IS </t>
  </si>
  <si>
    <t>Armada Gida</t>
  </si>
  <si>
    <t xml:space="preserve">ARMGD.IS </t>
  </si>
  <si>
    <t>Sumer Varlik</t>
  </si>
  <si>
    <t xml:space="preserve">SMRVA.IS </t>
  </si>
  <si>
    <t>Cagdas Cam</t>
  </si>
  <si>
    <t xml:space="preserve">CGCAM.IS </t>
  </si>
  <si>
    <t>Otto Holding</t>
  </si>
  <si>
    <t xml:space="preserve">OTTO.IS </t>
  </si>
  <si>
    <t>Euro Yatirim</t>
  </si>
  <si>
    <t xml:space="preserve">EUHOL.IS </t>
  </si>
  <si>
    <t>Bin Ulasim</t>
  </si>
  <si>
    <t xml:space="preserve">BINBN.IS </t>
  </si>
  <si>
    <t>Umpas</t>
  </si>
  <si>
    <t xml:space="preserve">UMPAS.IS </t>
  </si>
  <si>
    <t>Durukan Seker</t>
  </si>
  <si>
    <t xml:space="preserve">DURKN.IS </t>
  </si>
  <si>
    <t>Cem Zeytin</t>
  </si>
  <si>
    <t xml:space="preserve">CEMZY.IS </t>
  </si>
  <si>
    <t>Ozata Denizcilik</t>
  </si>
  <si>
    <t xml:space="preserve">OZATD.IS </t>
  </si>
  <si>
    <t>Dct Trading</t>
  </si>
  <si>
    <t xml:space="preserve">DCTTR.IS </t>
  </si>
  <si>
    <t>Ahes GYO</t>
  </si>
  <si>
    <t xml:space="preserve">AHSGY.IS </t>
  </si>
  <si>
    <t>Gundogdu Gida</t>
  </si>
  <si>
    <t xml:space="preserve">GUNDG.IS </t>
  </si>
  <si>
    <t>Mega Polietilen</t>
  </si>
  <si>
    <t xml:space="preserve">MEGAP.IS </t>
  </si>
  <si>
    <t>Kirac Galvaniz</t>
  </si>
  <si>
    <t xml:space="preserve">TCKRC.IS </t>
  </si>
  <si>
    <t>Bahadir Kimya</t>
  </si>
  <si>
    <t xml:space="preserve">BAHKM.IS </t>
  </si>
  <si>
    <t>Efor Yatirim</t>
  </si>
  <si>
    <t xml:space="preserve">EFOR.IS </t>
  </si>
  <si>
    <t>Segmen Kardesler</t>
  </si>
  <si>
    <t xml:space="preserve">SEGMN.IS </t>
  </si>
  <si>
    <t>Horoz Lojistik</t>
  </si>
  <si>
    <t xml:space="preserve">HOROZ.IS </t>
  </si>
  <si>
    <t>Yigit Aku</t>
  </si>
  <si>
    <t xml:space="preserve">YIGIT.IS </t>
  </si>
  <si>
    <t>Altinkilic Gida</t>
  </si>
  <si>
    <t xml:space="preserve">ALKLC.IS </t>
  </si>
  <si>
    <t>Ozyasar Tel</t>
  </si>
  <si>
    <t xml:space="preserve">OZYSR.IS </t>
  </si>
  <si>
    <t>Onur Yuksek</t>
  </si>
  <si>
    <t xml:space="preserve">ONRYT.IS </t>
  </si>
  <si>
    <t>Hareket Proje</t>
  </si>
  <si>
    <t xml:space="preserve">HRKET.IS </t>
  </si>
  <si>
    <t>Koc Metalurji</t>
  </si>
  <si>
    <t xml:space="preserve">KOCMT.IS </t>
  </si>
  <si>
    <t>Altinay Savunma</t>
  </si>
  <si>
    <t xml:space="preserve">ALTNY.IS </t>
  </si>
  <si>
    <t>KOTON</t>
  </si>
  <si>
    <t xml:space="preserve">KOTON.IS </t>
  </si>
  <si>
    <t>Lila Kagit</t>
  </si>
  <si>
    <t xml:space="preserve">LILAK.IS </t>
  </si>
  <si>
    <t>RGY</t>
  </si>
  <si>
    <t xml:space="preserve">RGYAS.IS </t>
  </si>
  <si>
    <t>Ic Enterra</t>
  </si>
  <si>
    <t xml:space="preserve">ENTRA.IS </t>
  </si>
  <si>
    <t>Odine Solutions</t>
  </si>
  <si>
    <t xml:space="preserve">ODINE.IS </t>
  </si>
  <si>
    <t>Mogan Enerji</t>
  </si>
  <si>
    <t xml:space="preserve">MOGAN.IS </t>
  </si>
  <si>
    <t>Artemis Hali</t>
  </si>
  <si>
    <t xml:space="preserve">ARTMS.IS </t>
  </si>
  <si>
    <t>Oba Makarnacilik</t>
  </si>
  <si>
    <t xml:space="preserve">OBAMS.IS </t>
  </si>
  <si>
    <t>Alves Kablo</t>
  </si>
  <si>
    <t xml:space="preserve">ALVES.IS </t>
  </si>
  <si>
    <t>Limak Dogu</t>
  </si>
  <si>
    <t xml:space="preserve">LMKDC.IS </t>
  </si>
  <si>
    <t>Bor Seker</t>
  </si>
  <si>
    <t xml:space="preserve">BORSK.IS </t>
  </si>
  <si>
    <t>Pasifik Teknoloj</t>
  </si>
  <si>
    <t xml:space="preserve">PATEK.IS </t>
  </si>
  <si>
    <t>Avrupakent GYO</t>
  </si>
  <si>
    <t xml:space="preserve">AVPGY.IS </t>
  </si>
  <si>
    <t>Mega Metal</t>
  </si>
  <si>
    <t xml:space="preserve">MEGMT.IS </t>
  </si>
  <si>
    <t>Kuzey Boru</t>
  </si>
  <si>
    <t xml:space="preserve">KBORU.IS </t>
  </si>
  <si>
    <t>Sur Tatil Evleri</t>
  </si>
  <si>
    <t xml:space="preserve">SURGY.IS </t>
  </si>
  <si>
    <t>Bati Ege GYO</t>
  </si>
  <si>
    <t xml:space="preserve">BEGYO.IS </t>
  </si>
  <si>
    <t>Cates Elektrik</t>
  </si>
  <si>
    <t xml:space="preserve">CATES.IS </t>
  </si>
  <si>
    <t>Seker Yatirim</t>
  </si>
  <si>
    <t xml:space="preserve">SKYMD.IS </t>
  </si>
  <si>
    <t>T Tuborg</t>
  </si>
  <si>
    <t xml:space="preserve">TBORG.IS </t>
  </si>
  <si>
    <t>Agrotech Yuksek</t>
  </si>
  <si>
    <t xml:space="preserve">AGROT.IS </t>
  </si>
  <si>
    <t>Ekos Teknoloji</t>
  </si>
  <si>
    <t xml:space="preserve">EKOS.IS </t>
  </si>
  <si>
    <t>1000 Yatirimlar</t>
  </si>
  <si>
    <t xml:space="preserve">BINHO.IS </t>
  </si>
  <si>
    <t>Tureks Turunc</t>
  </si>
  <si>
    <t xml:space="preserve">MARBL.IS </t>
  </si>
  <si>
    <t>Vera Konsept GYO</t>
  </si>
  <si>
    <t xml:space="preserve">VRGYO.IS </t>
  </si>
  <si>
    <t>Tab Gida</t>
  </si>
  <si>
    <t xml:space="preserve">TABGD.IS </t>
  </si>
  <si>
    <t>Borlease</t>
  </si>
  <si>
    <t xml:space="preserve">BORLS.IS </t>
  </si>
  <si>
    <t>Mhr GYO</t>
  </si>
  <si>
    <t xml:space="preserve">MHRGY.IS </t>
  </si>
  <si>
    <t>Dofer Yapi</t>
  </si>
  <si>
    <t xml:space="preserve">DOFER.IS </t>
  </si>
  <si>
    <t>Meka Global</t>
  </si>
  <si>
    <t xml:space="preserve">MEKAG.IS </t>
  </si>
  <si>
    <t>Dmr Unlu</t>
  </si>
  <si>
    <t xml:space="preserve">DMRGD.IS </t>
  </si>
  <si>
    <t>Hat-San Gemi</t>
  </si>
  <si>
    <t xml:space="preserve">HATSN.IS </t>
  </si>
  <si>
    <t>Reeder Teknoloji</t>
  </si>
  <si>
    <t xml:space="preserve">REEDR.IS </t>
  </si>
  <si>
    <t>Adra GYO</t>
  </si>
  <si>
    <t xml:space="preserve">ADGYO.IS </t>
  </si>
  <si>
    <t>Gipta Ofis Kirta</t>
  </si>
  <si>
    <t xml:space="preserve">GIPTA.IS </t>
  </si>
  <si>
    <t>Tarkim</t>
  </si>
  <si>
    <t xml:space="preserve">TARKM.IS </t>
  </si>
  <si>
    <t>Ebebek</t>
  </si>
  <si>
    <t xml:space="preserve">EBEBK.IS </t>
  </si>
  <si>
    <t>Kuzugrup GYO</t>
  </si>
  <si>
    <t xml:space="preserve">KZGYO.IS </t>
  </si>
  <si>
    <t>Enerya Enerji</t>
  </si>
  <si>
    <t xml:space="preserve">ENERY.IS </t>
  </si>
  <si>
    <t>Baydoner</t>
  </si>
  <si>
    <t xml:space="preserve">BYDNR.IS </t>
  </si>
  <si>
    <t>Tatlipinar</t>
  </si>
  <si>
    <t xml:space="preserve">TATEN.IS </t>
  </si>
  <si>
    <t>Izdemir Enerji</t>
  </si>
  <si>
    <t xml:space="preserve">IZENR.IS </t>
  </si>
  <si>
    <t>Ofis Yem</t>
  </si>
  <si>
    <t xml:space="preserve">OFSYM.IS </t>
  </si>
  <si>
    <t>Asce GYO</t>
  </si>
  <si>
    <t xml:space="preserve">ASGYO.IS </t>
  </si>
  <si>
    <t>Fuzul GYO</t>
  </si>
  <si>
    <t xml:space="preserve">FZLGY.IS </t>
  </si>
  <si>
    <t>Atakey Patates</t>
  </si>
  <si>
    <t xml:space="preserve">ATAKP.IS </t>
  </si>
  <si>
    <t>Kaleseramik</t>
  </si>
  <si>
    <t xml:space="preserve">KLSER.IS </t>
  </si>
  <si>
    <t>A1 Capital</t>
  </si>
  <si>
    <t xml:space="preserve">A1CAP.IS </t>
  </si>
  <si>
    <t>Forte Bilgi</t>
  </si>
  <si>
    <t xml:space="preserve">FORTE.IS </t>
  </si>
  <si>
    <t>Pasifik Eurasia</t>
  </si>
  <si>
    <t xml:space="preserve">PASEU.IS </t>
  </si>
  <si>
    <t>Katilimevim</t>
  </si>
  <si>
    <t xml:space="preserve">KTLEV.IS </t>
  </si>
  <si>
    <t>Marka Yatirim</t>
  </si>
  <si>
    <t xml:space="preserve">MARKA.IS </t>
  </si>
  <si>
    <t>Bien Yapi</t>
  </si>
  <si>
    <t xml:space="preserve">BIENY.IS </t>
  </si>
  <si>
    <t>Kayseri Seker</t>
  </si>
  <si>
    <t xml:space="preserve">KAYSE.IS </t>
  </si>
  <si>
    <t>Big Chefs</t>
  </si>
  <si>
    <t xml:space="preserve">BIGCH.IS </t>
  </si>
  <si>
    <t>Cw Enerji</t>
  </si>
  <si>
    <t xml:space="preserve">CWENE.IS </t>
  </si>
  <si>
    <t>Grainturk</t>
  </si>
  <si>
    <t xml:space="preserve">GRTHO.IS </t>
  </si>
  <si>
    <t>Europower Enerji</t>
  </si>
  <si>
    <t xml:space="preserve">EUPWR.IS </t>
  </si>
  <si>
    <t>Ruzy Madencilik</t>
  </si>
  <si>
    <t xml:space="preserve">RUZYE.IS </t>
  </si>
  <si>
    <t>Cvk Maden</t>
  </si>
  <si>
    <t xml:space="preserve">CVKMD.IS </t>
  </si>
  <si>
    <t>Koza Polyester</t>
  </si>
  <si>
    <t xml:space="preserve">KOPOL.IS </t>
  </si>
  <si>
    <t>Cosmos</t>
  </si>
  <si>
    <t xml:space="preserve">COSMO.IS </t>
  </si>
  <si>
    <t>Alfa Solar</t>
  </si>
  <si>
    <t xml:space="preserve">ALFAS.IS </t>
  </si>
  <si>
    <t>Zedur Enerji</t>
  </si>
  <si>
    <t xml:space="preserve">ZEDUR.IS </t>
  </si>
  <si>
    <t>Eksun Gida Tarim</t>
  </si>
  <si>
    <t xml:space="preserve">EKSUN.IS </t>
  </si>
  <si>
    <t>Akfen Yenilenebi</t>
  </si>
  <si>
    <t xml:space="preserve">AKFYE.IS </t>
  </si>
  <si>
    <t>Goknur Gida</t>
  </si>
  <si>
    <t xml:space="preserve">GOKNR.IS </t>
  </si>
  <si>
    <t>Bulbuloglu Vinc</t>
  </si>
  <si>
    <t xml:space="preserve">BVSAN.IS </t>
  </si>
  <si>
    <t>Mackolik</t>
  </si>
  <si>
    <t xml:space="preserve">MACKO.IS </t>
  </si>
  <si>
    <t>Astor Enerji</t>
  </si>
  <si>
    <t xml:space="preserve">ASTOR.IS </t>
  </si>
  <si>
    <t>Soke</t>
  </si>
  <si>
    <t xml:space="preserve">SOKE.IS </t>
  </si>
  <si>
    <t>Tapdi Oksijen</t>
  </si>
  <si>
    <t xml:space="preserve">TNZTP.IS </t>
  </si>
  <si>
    <t>Oncosem Onkoloji</t>
  </si>
  <si>
    <t xml:space="preserve">ONCSM.IS </t>
  </si>
  <si>
    <t>SDT Uzay</t>
  </si>
  <si>
    <t xml:space="preserve">SDTTR.IS </t>
  </si>
  <si>
    <t>Eyg GYO</t>
  </si>
  <si>
    <t xml:space="preserve">EYGYO.IS </t>
  </si>
  <si>
    <t>Tera Yatirim</t>
  </si>
  <si>
    <t xml:space="preserve">TERA.IS </t>
  </si>
  <si>
    <t>Ahlatci Dogal</t>
  </si>
  <si>
    <t xml:space="preserve">AHGAZ.IS </t>
  </si>
  <si>
    <t>Birikim Varlik</t>
  </si>
  <si>
    <t xml:space="preserve">BRKVY.IS </t>
  </si>
  <si>
    <t>Platform Turizm</t>
  </si>
  <si>
    <t xml:space="preserve">PLTUR.IS </t>
  </si>
  <si>
    <t>Ozsu Balik</t>
  </si>
  <si>
    <t xml:space="preserve">OZSUB.IS </t>
  </si>
  <si>
    <t>Sanica Isi</t>
  </si>
  <si>
    <t xml:space="preserve">SNICA.IS </t>
  </si>
  <si>
    <t>Mondi Olmuksan</t>
  </si>
  <si>
    <t>OLMK.IS^J22 (expired)</t>
  </si>
  <si>
    <t>Hidropar</t>
  </si>
  <si>
    <t xml:space="preserve">HKTM.IS </t>
  </si>
  <si>
    <t>Aztek Teknoloji</t>
  </si>
  <si>
    <t xml:space="preserve">AZTEK.IS </t>
  </si>
  <si>
    <t>Barem Ambalaj</t>
  </si>
  <si>
    <t xml:space="preserve">BARMA.IS </t>
  </si>
  <si>
    <t>Obase Bilgisayar</t>
  </si>
  <si>
    <t xml:space="preserve">OBASE.IS </t>
  </si>
  <si>
    <t>Koroplast</t>
  </si>
  <si>
    <t xml:space="preserve">KRPLS.IS </t>
  </si>
  <si>
    <t>Kiler Holding</t>
  </si>
  <si>
    <t xml:space="preserve">KLRHO.IS </t>
  </si>
  <si>
    <t>Rubenis Tekstil</t>
  </si>
  <si>
    <t xml:space="preserve">RUBNS.IS </t>
  </si>
  <si>
    <t>Kocaer Celik</t>
  </si>
  <si>
    <t xml:space="preserve">KCAER.IS </t>
  </si>
  <si>
    <t>Makim Makina</t>
  </si>
  <si>
    <t xml:space="preserve">MAKIM.IS </t>
  </si>
  <si>
    <t>Pardus Girisim</t>
  </si>
  <si>
    <t xml:space="preserve">PRDGS.IS </t>
  </si>
  <si>
    <t>Europen Endustri</t>
  </si>
  <si>
    <t xml:space="preserve">EUREN.IS </t>
  </si>
  <si>
    <t>Seker GYO</t>
  </si>
  <si>
    <t xml:space="preserve">SEGYO.IS </t>
  </si>
  <si>
    <t>Sun Tekstil</t>
  </si>
  <si>
    <t xml:space="preserve">SUNTK.IS </t>
  </si>
  <si>
    <t>Yayla Agro</t>
  </si>
  <si>
    <t xml:space="preserve">YYLGD.IS </t>
  </si>
  <si>
    <t>Denge Holding</t>
  </si>
  <si>
    <t xml:space="preserve">DENGE.IS </t>
  </si>
  <si>
    <t>Imas Makina</t>
  </si>
  <si>
    <t xml:space="preserve">IMASM.IS </t>
  </si>
  <si>
    <t>Kimteks Poliuret</t>
  </si>
  <si>
    <t xml:space="preserve">KMPUR.IS </t>
  </si>
  <si>
    <t>Bms Birlesik Met</t>
  </si>
  <si>
    <t xml:space="preserve">BMSTL.IS </t>
  </si>
  <si>
    <t>Ufuk Yatirim</t>
  </si>
  <si>
    <t xml:space="preserve">UFUK.IS </t>
  </si>
  <si>
    <t>Suwen Tekstil Sa</t>
  </si>
  <si>
    <t xml:space="preserve">SUWEN.IS </t>
  </si>
  <si>
    <t>Consus Enerji</t>
  </si>
  <si>
    <t xml:space="preserve">CONSE.IS </t>
  </si>
  <si>
    <t>Ldr Turizm</t>
  </si>
  <si>
    <t xml:space="preserve">LIDER.IS </t>
  </si>
  <si>
    <t>Etiler Gida</t>
  </si>
  <si>
    <t xml:space="preserve">ETILR.IS </t>
  </si>
  <si>
    <t>Smart Gunes</t>
  </si>
  <si>
    <t xml:space="preserve">SMRTG.IS </t>
  </si>
  <si>
    <t>Ensari Sinai</t>
  </si>
  <si>
    <t xml:space="preserve">ENSRI.IS </t>
  </si>
  <si>
    <t>Gur-Sel Turizm</t>
  </si>
  <si>
    <t xml:space="preserve">GRSEL.IS </t>
  </si>
  <si>
    <t>Gezinomi</t>
  </si>
  <si>
    <t xml:space="preserve">GZNMI.IS </t>
  </si>
  <si>
    <t>Koleksiyon</t>
  </si>
  <si>
    <t xml:space="preserve">KLSYN.IS </t>
  </si>
  <si>
    <t>Hitit Bilgisayar</t>
  </si>
  <si>
    <t xml:space="preserve">HTTBT.IS </t>
  </si>
  <si>
    <t>InvestCo</t>
  </si>
  <si>
    <t xml:space="preserve">INVES.IS </t>
  </si>
  <si>
    <t>Dap Gayrimenkul</t>
  </si>
  <si>
    <t xml:space="preserve">DAPGM.IS </t>
  </si>
  <si>
    <t>Hun</t>
  </si>
  <si>
    <t xml:space="preserve">HUNER.IS </t>
  </si>
  <si>
    <t>Panelsan Cati</t>
  </si>
  <si>
    <t xml:space="preserve">PNLSN.IS </t>
  </si>
  <si>
    <t>Erciyas Celik</t>
  </si>
  <si>
    <t xml:space="preserve">ERCB.IS </t>
  </si>
  <si>
    <t>Ozbal Celik Boru</t>
  </si>
  <si>
    <t>OZBAL.IS^A22 (expired)</t>
  </si>
  <si>
    <t>Pasifik GYO</t>
  </si>
  <si>
    <t xml:space="preserve">PSGYO.IS </t>
  </si>
  <si>
    <t>Rainbow</t>
  </si>
  <si>
    <t xml:space="preserve">RNPOL.IS </t>
  </si>
  <si>
    <t>Pc Iletisim</t>
  </si>
  <si>
    <t xml:space="preserve">PCILT.IS </t>
  </si>
  <si>
    <t>Konya Kagit</t>
  </si>
  <si>
    <t xml:space="preserve">KONKA.IS </t>
  </si>
  <si>
    <t>Mobiltel</t>
  </si>
  <si>
    <t xml:space="preserve">MOBTL.IS </t>
  </si>
  <si>
    <t>Mia Teknoloji</t>
  </si>
  <si>
    <t xml:space="preserve">MIATK.IS </t>
  </si>
  <si>
    <t>Isbir Sentetik</t>
  </si>
  <si>
    <t xml:space="preserve">ISSEN.IS </t>
  </si>
  <si>
    <t>Elite Naturel</t>
  </si>
  <si>
    <t xml:space="preserve">ELITE.IS </t>
  </si>
  <si>
    <t>Gimat</t>
  </si>
  <si>
    <t xml:space="preserve">GMTAS.IS </t>
  </si>
  <si>
    <t>Dogu Aras</t>
  </si>
  <si>
    <t xml:space="preserve">ARASE.IS </t>
  </si>
  <si>
    <t>Ulusal Faktoring</t>
  </si>
  <si>
    <t xml:space="preserve">ULUFA.IS </t>
  </si>
  <si>
    <t>Doktas</t>
  </si>
  <si>
    <t xml:space="preserve">DOKTA.IS </t>
  </si>
  <si>
    <t>Ihlas Haber</t>
  </si>
  <si>
    <t xml:space="preserve">IHAAS.IS </t>
  </si>
  <si>
    <t>Hedef Holding</t>
  </si>
  <si>
    <t xml:space="preserve">HEDEF.IS </t>
  </si>
  <si>
    <t>Anatolia Tani</t>
  </si>
  <si>
    <t xml:space="preserve">ANGEN.IS </t>
  </si>
  <si>
    <t>Gelecek Varlik</t>
  </si>
  <si>
    <t xml:space="preserve">GLCVY.IS </t>
  </si>
  <si>
    <t>Bagfas</t>
  </si>
  <si>
    <t xml:space="preserve">BAGFS.IS </t>
  </si>
  <si>
    <t>Merit Turizm</t>
  </si>
  <si>
    <t xml:space="preserve">MERIT.IS </t>
  </si>
  <si>
    <t>Margun Enerji</t>
  </si>
  <si>
    <t xml:space="preserve">MAGEN.IS </t>
  </si>
  <si>
    <t>Ersan Alisveris</t>
  </si>
  <si>
    <t xml:space="preserve">KIMMR.IS </t>
  </si>
  <si>
    <t>Europap Tezol</t>
  </si>
  <si>
    <t xml:space="preserve">TEZOL.IS </t>
  </si>
  <si>
    <t>Yeo Teknoloji</t>
  </si>
  <si>
    <t xml:space="preserve">YEOTK.IS </t>
  </si>
  <si>
    <t>Orcay Ortakoy</t>
  </si>
  <si>
    <t xml:space="preserve">ORCAY.IS </t>
  </si>
  <si>
    <t>Nasmed Ozel</t>
  </si>
  <si>
    <t xml:space="preserve">EGEPO.IS </t>
  </si>
  <si>
    <t>Birlesim</t>
  </si>
  <si>
    <t xml:space="preserve">BRLSM.IS </t>
  </si>
  <si>
    <t>Girisim Elektrik</t>
  </si>
  <si>
    <t xml:space="preserve">GESAN.IS </t>
  </si>
  <si>
    <t>Kizilbuk GYO</t>
  </si>
  <si>
    <t xml:space="preserve">KZBGY.IS </t>
  </si>
  <si>
    <t>Gen Ilac</t>
  </si>
  <si>
    <t xml:space="preserve">GENIL.IS </t>
  </si>
  <si>
    <t>Manas Enerji</t>
  </si>
  <si>
    <t xml:space="preserve">MANAS.IS </t>
  </si>
  <si>
    <t>A1 Yenilenebilir</t>
  </si>
  <si>
    <t xml:space="preserve">A1YEN.IS </t>
  </si>
  <si>
    <t>Escar Filo</t>
  </si>
  <si>
    <t xml:space="preserve">ESCAR.IS </t>
  </si>
  <si>
    <t>VBT Yazilim</t>
  </si>
  <si>
    <t xml:space="preserve">VBTYZ.IS </t>
  </si>
  <si>
    <t>Kutahya Seker</t>
  </si>
  <si>
    <t xml:space="preserve">KTSKR.IS </t>
  </si>
  <si>
    <t>E-Data Teknoloji</t>
  </si>
  <si>
    <t xml:space="preserve">EDATA.IS </t>
  </si>
  <si>
    <t>Meditera Tibbi</t>
  </si>
  <si>
    <t xml:space="preserve">MEDTR.IS </t>
  </si>
  <si>
    <t>Selva Gida San</t>
  </si>
  <si>
    <t xml:space="preserve">SELVA.IS </t>
  </si>
  <si>
    <t>Baskent Dogalgaz</t>
  </si>
  <si>
    <t xml:space="preserve">BASGZ.IS </t>
  </si>
  <si>
    <t>Oyak Yatirim</t>
  </si>
  <si>
    <t xml:space="preserve">OYYAT.IS </t>
  </si>
  <si>
    <t>BMS Celik Hasir</t>
  </si>
  <si>
    <t xml:space="preserve">BMSCH.IS </t>
  </si>
  <si>
    <t>Unlu Yatirim</t>
  </si>
  <si>
    <t xml:space="preserve">UNLU.IS </t>
  </si>
  <si>
    <t>Atp Yazilim</t>
  </si>
  <si>
    <t xml:space="preserve">ATATP.IS </t>
  </si>
  <si>
    <t>Bogazici Beton</t>
  </si>
  <si>
    <t xml:space="preserve">BOBET.IS </t>
  </si>
  <si>
    <t>Egeplast</t>
  </si>
  <si>
    <t xml:space="preserve">EPLAS.IS </t>
  </si>
  <si>
    <t>Mazhar Zorlu</t>
  </si>
  <si>
    <t xml:space="preserve">MZHLD.IS </t>
  </si>
  <si>
    <t>Mercan Kimya</t>
  </si>
  <si>
    <t xml:space="preserve">MERCN.IS </t>
  </si>
  <si>
    <t>Kalekim Kimyevi</t>
  </si>
  <si>
    <t xml:space="preserve">KLKIM.IS </t>
  </si>
  <si>
    <t>Penta</t>
  </si>
  <si>
    <t xml:space="preserve">PENTA.IS </t>
  </si>
  <si>
    <t>Ziraat GYO</t>
  </si>
  <si>
    <t xml:space="preserve">ZRGYO.IS </t>
  </si>
  <si>
    <t>Can2 Termik</t>
  </si>
  <si>
    <t xml:space="preserve">CANTE.IS </t>
  </si>
  <si>
    <t>Aydem</t>
  </si>
  <si>
    <t xml:space="preserve">AYDEM.IS </t>
  </si>
  <si>
    <t>Biotrend Cevre</t>
  </si>
  <si>
    <t xml:space="preserve">BIOEN.IS </t>
  </si>
  <si>
    <t>Galata Wind</t>
  </si>
  <si>
    <t xml:space="preserve">GWIND.IS </t>
  </si>
  <si>
    <t>Qua Granite</t>
  </si>
  <si>
    <t xml:space="preserve">QUAGR.IS </t>
  </si>
  <si>
    <t>Tureks Turizm</t>
  </si>
  <si>
    <t xml:space="preserve">TUREX.IS </t>
  </si>
  <si>
    <t>Matriks Finansal</t>
  </si>
  <si>
    <t xml:space="preserve">MTRKS.IS </t>
  </si>
  <si>
    <t>Naturelgaz</t>
  </si>
  <si>
    <t xml:space="preserve">NTGAZ.IS </t>
  </si>
  <si>
    <t>Dunya Holding AS</t>
  </si>
  <si>
    <t xml:space="preserve">DUNYH.IS </t>
  </si>
  <si>
    <t>Turk Ilac</t>
  </si>
  <si>
    <t xml:space="preserve">TRILC.IS </t>
  </si>
  <si>
    <t>Pamel</t>
  </si>
  <si>
    <t xml:space="preserve">PAMEL.IS </t>
  </si>
  <si>
    <t>Dardanel Onentas</t>
  </si>
  <si>
    <t xml:space="preserve">DARDL.IS </t>
  </si>
  <si>
    <t>Isik Plastik</t>
  </si>
  <si>
    <t xml:space="preserve">ISKPL.IS </t>
  </si>
  <si>
    <t>Birlik Mensucat</t>
  </si>
  <si>
    <t xml:space="preserve">BRMEN.IS </t>
  </si>
  <si>
    <t>Arzum</t>
  </si>
  <si>
    <t xml:space="preserve">ARZUM.IS </t>
  </si>
  <si>
    <t>Kervan Gida</t>
  </si>
  <si>
    <t xml:space="preserve">KRVGD.IS </t>
  </si>
  <si>
    <t>Frigo Pak</t>
  </si>
  <si>
    <t xml:space="preserve">FRIGO.IS </t>
  </si>
  <si>
    <t>Kontrolmatik</t>
  </si>
  <si>
    <t xml:space="preserve">KONTR.IS </t>
  </si>
  <si>
    <t>Esenboga</t>
  </si>
  <si>
    <t xml:space="preserve">ESEN.IS </t>
  </si>
  <si>
    <t>Anadolu Cam</t>
  </si>
  <si>
    <t>ANACM.IS^J20 (expired)</t>
  </si>
  <si>
    <t>Denizli Cam</t>
  </si>
  <si>
    <t>DENCM.IS^J20 (expired)</t>
  </si>
  <si>
    <t>Soda Sanayii</t>
  </si>
  <si>
    <t>SODA.IS^J20 (expired)</t>
  </si>
  <si>
    <t>Trakya Cam</t>
  </si>
  <si>
    <t>TRKCM.IS^J20 (expired)</t>
  </si>
  <si>
    <t>Dinamik Isi</t>
  </si>
  <si>
    <t xml:space="preserve">DNISI.IS </t>
  </si>
  <si>
    <t>Fade Gida</t>
  </si>
  <si>
    <t xml:space="preserve">FADE.IS </t>
  </si>
  <si>
    <t>Gate Grp</t>
  </si>
  <si>
    <t xml:space="preserve">GATEG.IS </t>
  </si>
  <si>
    <t>Bayrak EBT Taban</t>
  </si>
  <si>
    <t xml:space="preserve">BAYRK.IS </t>
  </si>
  <si>
    <t>Adana Cimento</t>
  </si>
  <si>
    <t>ADNAC.IS^E20 (expired)</t>
  </si>
  <si>
    <t>ADBGR.IS^E20 (expired)</t>
  </si>
  <si>
    <t>ADANA.IS^E20 (expired)</t>
  </si>
  <si>
    <t>Aslan Cimento</t>
  </si>
  <si>
    <t>ASLAN.IS^E20 (expired)</t>
  </si>
  <si>
    <t>Bolu Cimento</t>
  </si>
  <si>
    <t>BOLUC.IS^E20 (expired)</t>
  </si>
  <si>
    <t>Unye Cimento</t>
  </si>
  <si>
    <t>UNYEC.IS^E20 (expired)</t>
  </si>
  <si>
    <t>Ard Grup Bilisim</t>
  </si>
  <si>
    <t xml:space="preserve">ARDYZ.IS </t>
  </si>
  <si>
    <t>Diriteks</t>
  </si>
  <si>
    <t xml:space="preserve">DIRIT.IS </t>
  </si>
  <si>
    <t>Beymen Perakende</t>
  </si>
  <si>
    <t>BOYP.IS^L19 (expired)</t>
  </si>
  <si>
    <t>Papilon Savunma</t>
  </si>
  <si>
    <t xml:space="preserve">PAPIL.IS </t>
  </si>
  <si>
    <t>Denizbank</t>
  </si>
  <si>
    <t>DENIZ.IS^L19 (expired)</t>
  </si>
  <si>
    <t>Yukselen Celik</t>
  </si>
  <si>
    <t xml:space="preserve">YKSLN.IS </t>
  </si>
  <si>
    <t>Altin Yunus</t>
  </si>
  <si>
    <t xml:space="preserve">AYCES.IS </t>
  </si>
  <si>
    <t>Big Medya</t>
  </si>
  <si>
    <t xml:space="preserve">BIGTK.IS </t>
  </si>
  <si>
    <t>Burcelik Vana</t>
  </si>
  <si>
    <t xml:space="preserve">BURVA.IS </t>
  </si>
  <si>
    <t>Global Menkul</t>
  </si>
  <si>
    <t xml:space="preserve">GLBMD.IS </t>
  </si>
  <si>
    <t>Hub Girisim</t>
  </si>
  <si>
    <t xml:space="preserve">HUBVC.IS </t>
  </si>
  <si>
    <t>Idealist GYO</t>
  </si>
  <si>
    <t xml:space="preserve">IDGYO.IS </t>
  </si>
  <si>
    <t>Inveo Yatirim</t>
  </si>
  <si>
    <t xml:space="preserve">INVEO.IS </t>
  </si>
  <si>
    <t>Is Bank</t>
  </si>
  <si>
    <t xml:space="preserve">ISBTR.IS </t>
  </si>
  <si>
    <t xml:space="preserve">ISATR.IS </t>
  </si>
  <si>
    <t>Korfez GYO</t>
  </si>
  <si>
    <t xml:space="preserve">KRGYO.IS </t>
  </si>
  <si>
    <t>Lider Faktoring</t>
  </si>
  <si>
    <t xml:space="preserve">LIDFA.IS </t>
  </si>
  <si>
    <t>Luks Kadife</t>
  </si>
  <si>
    <t xml:space="preserve">LUKSK.IS </t>
  </si>
  <si>
    <t>Lydia Yesil Ener</t>
  </si>
  <si>
    <t xml:space="preserve">LYDYE.IS </t>
  </si>
  <si>
    <t>Osmanli Yatirim</t>
  </si>
  <si>
    <t xml:space="preserve">OSMEN.IS </t>
  </si>
  <si>
    <t>Ozerden Ambalaj</t>
  </si>
  <si>
    <t xml:space="preserve">OZRDN.IS </t>
  </si>
  <si>
    <t>Petrokent Turizm</t>
  </si>
  <si>
    <t xml:space="preserve">PKENT.IS </t>
  </si>
  <si>
    <t>Rodrigo</t>
  </si>
  <si>
    <t xml:space="preserve">RODRG.IS </t>
  </si>
  <si>
    <t>Sanifoam Endustr</t>
  </si>
  <si>
    <t xml:space="preserve">SANFM.IS </t>
  </si>
  <si>
    <t>Say</t>
  </si>
  <si>
    <t xml:space="preserve">SAYAS.IS </t>
  </si>
  <si>
    <t>Tera Finansal Ya</t>
  </si>
  <si>
    <t xml:space="preserve">TRHOL.IS </t>
  </si>
  <si>
    <t>Trend GYO</t>
  </si>
  <si>
    <t xml:space="preserve">TDGYO.IS </t>
  </si>
  <si>
    <t>Ulaslar Turizm</t>
  </si>
  <si>
    <t xml:space="preserve">ULAS.IS </t>
  </si>
  <si>
    <t>Viking Kagit</t>
  </si>
  <si>
    <t xml:space="preserve">VKING.IS </t>
  </si>
  <si>
    <t>Yaprak Sut</t>
  </si>
  <si>
    <t xml:space="preserve">YAPRK.IS </t>
  </si>
  <si>
    <t>Izocam</t>
  </si>
  <si>
    <t>IZOCM.IS^J19 (expired)</t>
  </si>
  <si>
    <t>Naturel</t>
  </si>
  <si>
    <t xml:space="preserve">NATEN.IS </t>
  </si>
  <si>
    <t>Derluks Yatirim</t>
  </si>
  <si>
    <t xml:space="preserve">DERHL.IS </t>
  </si>
  <si>
    <t>Info Yatirim</t>
  </si>
  <si>
    <t xml:space="preserve">INFO.IS </t>
  </si>
  <si>
    <t>Karsu Tekstil</t>
  </si>
  <si>
    <t xml:space="preserve">KRTEK.IS </t>
  </si>
  <si>
    <t>CEO Event</t>
  </si>
  <si>
    <t xml:space="preserve">CEOEM.IS </t>
  </si>
  <si>
    <t>Smartiks Yazilim</t>
  </si>
  <si>
    <t xml:space="preserve">SMART.IS </t>
  </si>
  <si>
    <t>Ral Yatirim</t>
  </si>
  <si>
    <t xml:space="preserve">RALYH.IS </t>
  </si>
  <si>
    <t>Demiroren</t>
  </si>
  <si>
    <t>DGZTE.IS^B19 (expired)</t>
  </si>
  <si>
    <t>Avrupa Yatirim</t>
  </si>
  <si>
    <t xml:space="preserve">AVHOL.IS </t>
  </si>
  <si>
    <t>Desa</t>
  </si>
  <si>
    <t xml:space="preserve">DESA.IS </t>
  </si>
  <si>
    <t>Gedik Yatirim</t>
  </si>
  <si>
    <t xml:space="preserve">GEDIK.IS </t>
  </si>
  <si>
    <t>Iz Hayvancilik</t>
  </si>
  <si>
    <t xml:space="preserve">IZINV.IS </t>
  </si>
  <si>
    <t>Atlantik</t>
  </si>
  <si>
    <t>ATPET.IS^C19 (expired)</t>
  </si>
  <si>
    <t>Kipa Ticaret</t>
  </si>
  <si>
    <t>KIPA.IS^I18 (expired)</t>
  </si>
  <si>
    <t>Seyitler Kimya</t>
  </si>
  <si>
    <t xml:space="preserve">SEYKM.IS </t>
  </si>
  <si>
    <t>Skyalp Finansal</t>
  </si>
  <si>
    <t xml:space="preserve">SKYLP.IS </t>
  </si>
  <si>
    <t>Yayla Enerji</t>
  </si>
  <si>
    <t xml:space="preserve">YAYLA.IS </t>
  </si>
  <si>
    <t>EGCYO</t>
  </si>
  <si>
    <t>EGCYO.IS^K20 (expired)</t>
  </si>
  <si>
    <t>Formet Metal</t>
  </si>
  <si>
    <t xml:space="preserve">FORMT.IS </t>
  </si>
  <si>
    <t>Sok</t>
  </si>
  <si>
    <t xml:space="preserve">SOKM.IS </t>
  </si>
  <si>
    <t>Kafein Yazilim</t>
  </si>
  <si>
    <t xml:space="preserve">KFEIN.IS </t>
  </si>
  <si>
    <t>ISDEMIR</t>
  </si>
  <si>
    <t xml:space="preserve">ISDMR.IS </t>
  </si>
  <si>
    <t>Yesil Yatirim</t>
  </si>
  <si>
    <t xml:space="preserve">YESIL.IS </t>
  </si>
  <si>
    <t>Peker GYO</t>
  </si>
  <si>
    <t xml:space="preserve">PEKGY.IS </t>
  </si>
  <si>
    <t>MLP Saglik</t>
  </si>
  <si>
    <t xml:space="preserve">MPARK.IS </t>
  </si>
  <si>
    <t>Enerjisa Enerji</t>
  </si>
  <si>
    <t xml:space="preserve">ENJSA.IS </t>
  </si>
  <si>
    <t>Trabzonport</t>
  </si>
  <si>
    <t xml:space="preserve">TLMAN.IS </t>
  </si>
  <si>
    <t>Safkar Ege</t>
  </si>
  <si>
    <t xml:space="preserve">SAFKR.IS </t>
  </si>
  <si>
    <t>Deniz GYO</t>
  </si>
  <si>
    <t xml:space="preserve">DZGYO.IS </t>
  </si>
  <si>
    <t>Dogusan Boru</t>
  </si>
  <si>
    <t xml:space="preserve">DOGUB.IS </t>
  </si>
  <si>
    <t>Kaplamin Ambalaj</t>
  </si>
  <si>
    <t xml:space="preserve">KAPLM.IS </t>
  </si>
  <si>
    <t>Ray Sigorta</t>
  </si>
  <si>
    <t xml:space="preserve">RAYSG.IS </t>
  </si>
  <si>
    <t>Sonmez Filament</t>
  </si>
  <si>
    <t xml:space="preserve">SONME.IS </t>
  </si>
  <si>
    <t>PIMAS</t>
  </si>
  <si>
    <t>PIMAS.IS^L17 (expired)</t>
  </si>
  <si>
    <t>Net Turizm</t>
  </si>
  <si>
    <t>NTTUR.IS^J17 (expired)</t>
  </si>
  <si>
    <t>USAS Yatirimlar</t>
  </si>
  <si>
    <t>USAS.IS^J17 (expired)</t>
  </si>
  <si>
    <t>Bimeks Bilgi Isl</t>
  </si>
  <si>
    <t>BMEKS.IS^D19 (expired)</t>
  </si>
  <si>
    <t>Celik Halat</t>
  </si>
  <si>
    <t xml:space="preserve">CELHA.IS </t>
  </si>
  <si>
    <t>Ege Profil</t>
  </si>
  <si>
    <t xml:space="preserve">EGPRO.IS </t>
  </si>
  <si>
    <t>Guler Holding</t>
  </si>
  <si>
    <t xml:space="preserve">GLRYH.IS </t>
  </si>
  <si>
    <t>Izmir Firca</t>
  </si>
  <si>
    <t xml:space="preserve">IZFAS.IS </t>
  </si>
  <si>
    <t>Metemtur Yatirim</t>
  </si>
  <si>
    <t xml:space="preserve">BLUME.IS </t>
  </si>
  <si>
    <t>Seker Leasing</t>
  </si>
  <si>
    <t xml:space="preserve">SEKFK.IS </t>
  </si>
  <si>
    <t>Servet GYO</t>
  </si>
  <si>
    <t xml:space="preserve">SRVGY.IS </t>
  </si>
  <si>
    <t>Vanet</t>
  </si>
  <si>
    <t xml:space="preserve">VANGD.IS </t>
  </si>
  <si>
    <t>Mavi</t>
  </si>
  <si>
    <t xml:space="preserve">MAVI.IS </t>
  </si>
  <si>
    <t>Fonet Bilgi</t>
  </si>
  <si>
    <t xml:space="preserve">FONET.IS </t>
  </si>
  <si>
    <t>Mistral GYO</t>
  </si>
  <si>
    <t xml:space="preserve">MSGYO.IS </t>
  </si>
  <si>
    <t>Saf GYO</t>
  </si>
  <si>
    <t>SAFGY.IS^A17 (expired)</t>
  </si>
  <si>
    <t>Nigbas</t>
  </si>
  <si>
    <t xml:space="preserve">NIBAS.IS </t>
  </si>
  <si>
    <t>Oylum</t>
  </si>
  <si>
    <t xml:space="preserve">OYLUM.IS </t>
  </si>
  <si>
    <t>Pergamon Status</t>
  </si>
  <si>
    <t xml:space="preserve">PSDTC.IS </t>
  </si>
  <si>
    <t>Sekuro</t>
  </si>
  <si>
    <t xml:space="preserve">SEKUR.IS </t>
  </si>
  <si>
    <t>Anel Telekom</t>
  </si>
  <si>
    <t>ANELT.IS^L18 (expired)</t>
  </si>
  <si>
    <t>Birko Birlesik</t>
  </si>
  <si>
    <t xml:space="preserve">BRKO.IS </t>
  </si>
  <si>
    <t>Uyum</t>
  </si>
  <si>
    <t>UYUM.IS^K16 (expired)</t>
  </si>
  <si>
    <t>Karakas Atlantis</t>
  </si>
  <si>
    <t>KRATL.IS^C17 (expired)</t>
  </si>
  <si>
    <t>Royal Hali</t>
  </si>
  <si>
    <t>ROYAL.IS^D26 (expired)</t>
  </si>
  <si>
    <t>Via Perakende In</t>
  </si>
  <si>
    <t>VIAGO.IS^G16 (expired)</t>
  </si>
  <si>
    <t>Beyaz Filo</t>
  </si>
  <si>
    <t xml:space="preserve">BEYAZ.IS </t>
  </si>
  <si>
    <t>ERSU</t>
  </si>
  <si>
    <t xml:space="preserve">ERSU.IS </t>
  </si>
  <si>
    <t>Link Bilgisayar</t>
  </si>
  <si>
    <t xml:space="preserve">LINK.IS </t>
  </si>
  <si>
    <t>Politeknik Metal</t>
  </si>
  <si>
    <t xml:space="preserve">POLTK.IS </t>
  </si>
  <si>
    <t>Akfen Holding</t>
  </si>
  <si>
    <t>AKFEN.IS^E16 (expired)</t>
  </si>
  <si>
    <t>Arbul Entegre</t>
  </si>
  <si>
    <t>ARBUL.IS^C17 (expired)</t>
  </si>
  <si>
    <t>Boyner Buyuk</t>
  </si>
  <si>
    <t>BOYNR.IS^C17 (expired)</t>
  </si>
  <si>
    <t>Cuhadaroglu</t>
  </si>
  <si>
    <t xml:space="preserve">CUSAN.IS </t>
  </si>
  <si>
    <t>Aksel Yatirim</t>
  </si>
  <si>
    <t>AKSEL.IS^B18 (expired)</t>
  </si>
  <si>
    <t>EGCYH</t>
  </si>
  <si>
    <t>EGCYH.IS^K20 (expired)</t>
  </si>
  <si>
    <t>Egeli&amp;Co Enerji</t>
  </si>
  <si>
    <t>EGCEY.IS^K20 (expired)</t>
  </si>
  <si>
    <t>Kiler</t>
  </si>
  <si>
    <t>KILER.IS^A16 (expired)</t>
  </si>
  <si>
    <t>Verusaturk</t>
  </si>
  <si>
    <t xml:space="preserve">VERTU.IS </t>
  </si>
  <si>
    <t>Casa Emtia</t>
  </si>
  <si>
    <t xml:space="preserve">CASA.IS </t>
  </si>
  <si>
    <t>Akyurek</t>
  </si>
  <si>
    <t>AKPAZ.IS^E18 (expired)</t>
  </si>
  <si>
    <t>CarrefourSA</t>
  </si>
  <si>
    <t xml:space="preserve">CRFSA.IS </t>
  </si>
  <si>
    <t>CARFB.IS^H15 (expired)</t>
  </si>
  <si>
    <t>CARFA.IS^H15 (expired)</t>
  </si>
  <si>
    <t>Avtur</t>
  </si>
  <si>
    <t xml:space="preserve">AVTUR.IS </t>
  </si>
  <si>
    <t>DemirDokum</t>
  </si>
  <si>
    <t>TUDDF.IS^I15 (expired)</t>
  </si>
  <si>
    <t>Kron Teknoloji</t>
  </si>
  <si>
    <t xml:space="preserve">KRONT.IS </t>
  </si>
  <si>
    <t>Bantas Bandirma</t>
  </si>
  <si>
    <t xml:space="preserve">BNTAS.IS </t>
  </si>
  <si>
    <t>Kervansaray</t>
  </si>
  <si>
    <t xml:space="preserve">KERVN.IS </t>
  </si>
  <si>
    <t>MMC</t>
  </si>
  <si>
    <t xml:space="preserve">MMCAS.IS </t>
  </si>
  <si>
    <t>Petrol Ofisi</t>
  </si>
  <si>
    <t>PTOFS.IS^E15 (expired)</t>
  </si>
  <si>
    <t>Eczacibasi Yapi</t>
  </si>
  <si>
    <t>ECYAP.IS^D15 (expired)</t>
  </si>
  <si>
    <t>TEB</t>
  </si>
  <si>
    <t>TEBNK.IS^F15 (expired)</t>
  </si>
  <si>
    <t>Taraf Gazete</t>
  </si>
  <si>
    <t>TARAF.IS^G16 (expired)</t>
  </si>
  <si>
    <t>Mutlu Aku</t>
  </si>
  <si>
    <t>MUTLU.IS^C15 (expired)</t>
  </si>
  <si>
    <t>Temapol</t>
  </si>
  <si>
    <t xml:space="preserve">TMPOL.IS </t>
  </si>
  <si>
    <t>Hedef Girisim</t>
  </si>
  <si>
    <t xml:space="preserve">HDFGS.IS </t>
  </si>
  <si>
    <t>ABank</t>
  </si>
  <si>
    <t>ALNTF.IS^G15 (expired)</t>
  </si>
  <si>
    <t>Atlantis</t>
  </si>
  <si>
    <t xml:space="preserve">ATSYH.IS </t>
  </si>
  <si>
    <t>Eminis Ambalaj</t>
  </si>
  <si>
    <t xml:space="preserve">EMNIS.IS </t>
  </si>
  <si>
    <t>Haznedar</t>
  </si>
  <si>
    <t>HZNDR.IS^K16 (expired)</t>
  </si>
  <si>
    <t>Unico Sigorta</t>
  </si>
  <si>
    <t>UNICO.IS^L15 (expired)</t>
  </si>
  <si>
    <t>Ulusoy Elektrik</t>
  </si>
  <si>
    <t xml:space="preserve">ULUSE.IS </t>
  </si>
  <si>
    <t>Ulusoy Un</t>
  </si>
  <si>
    <t xml:space="preserve">ULUUN.IS </t>
  </si>
  <si>
    <t>Agesa Hayat</t>
  </si>
  <si>
    <t xml:space="preserve">AGESA.IS </t>
  </si>
  <si>
    <t>Latek</t>
  </si>
  <si>
    <t>LATEK.IS^D17 (expired)</t>
  </si>
  <si>
    <t>Asya Katilim</t>
  </si>
  <si>
    <t>ASYAB.IS^G16 (expired)</t>
  </si>
  <si>
    <t>Isiklar Yatirim</t>
  </si>
  <si>
    <t>ISYHO.IS^J14 (expired)</t>
  </si>
  <si>
    <t>DYH</t>
  </si>
  <si>
    <t>DYHOL.IS^I14 (expired)</t>
  </si>
  <si>
    <t>Tugcelik</t>
  </si>
  <si>
    <t xml:space="preserve">TUCLK.IS </t>
  </si>
  <si>
    <t>Ar Tarim Organik</t>
  </si>
  <si>
    <t>ARTOG.IS^D17 (expired)</t>
  </si>
  <si>
    <t>CLK Holding</t>
  </si>
  <si>
    <t>CLKHO.IS^D17 (expired)</t>
  </si>
  <si>
    <t>Ericom</t>
  </si>
  <si>
    <t>ERICO.IS^D17 (expired)</t>
  </si>
  <si>
    <t>RTA</t>
  </si>
  <si>
    <t xml:space="preserve">RTALB.IS </t>
  </si>
  <si>
    <t>Genpower Holding</t>
  </si>
  <si>
    <t>GNPWR.IS^L16 (expired)</t>
  </si>
  <si>
    <t>AFM</t>
  </si>
  <si>
    <t>AFMAS.IS^D14 (expired)</t>
  </si>
  <si>
    <t>Dentas Ambalaj</t>
  </si>
  <si>
    <t>DENTA.IS^C14 (expired)</t>
  </si>
  <si>
    <t>YK Sigorta</t>
  </si>
  <si>
    <t>YKSGR.IS^D14 (expired)</t>
  </si>
  <si>
    <t>Mert Gida</t>
  </si>
  <si>
    <t>MRTGG.IS^L16 (expired)</t>
  </si>
  <si>
    <t>BSH Ev Aletleri</t>
  </si>
  <si>
    <t>BSHEV.IS^B14 (expired)</t>
  </si>
  <si>
    <t>Gediz Ambalaj</t>
  </si>
  <si>
    <t xml:space="preserve">GEDZA.IS </t>
  </si>
  <si>
    <t>Atac Insaat</t>
  </si>
  <si>
    <t>ATAC.IS^K14 (expired)</t>
  </si>
  <si>
    <t>FDY</t>
  </si>
  <si>
    <t>FVORI.IS^D17 (expired)</t>
  </si>
  <si>
    <t>Mensa</t>
  </si>
  <si>
    <t>MEMSA.IS^L17 (expired)</t>
  </si>
  <si>
    <t>Kuyas Yatirim</t>
  </si>
  <si>
    <t xml:space="preserve">KUYAS.IS </t>
  </si>
  <si>
    <t>San-El</t>
  </si>
  <si>
    <t xml:space="preserve">SANEL.IS </t>
  </si>
  <si>
    <t>Verusa Holding</t>
  </si>
  <si>
    <t xml:space="preserve">VERUS.IS </t>
  </si>
  <si>
    <t>Fenis Aluminyum</t>
  </si>
  <si>
    <t>FENIS.IS^L16 (expired)</t>
  </si>
  <si>
    <t>KARKM.IS^H13 (expired)</t>
  </si>
  <si>
    <t>Yeni Gimat GYO</t>
  </si>
  <si>
    <t xml:space="preserve">YGGYO.IS </t>
  </si>
  <si>
    <t>Turker Proje</t>
  </si>
  <si>
    <t xml:space="preserve">TURGG.IS </t>
  </si>
  <si>
    <t>OSTIM</t>
  </si>
  <si>
    <t xml:space="preserve">OSTIM.IS </t>
  </si>
  <si>
    <t>Panora GYO</t>
  </si>
  <si>
    <t xml:space="preserve">PAGYO.IS </t>
  </si>
  <si>
    <t>Mish Dekorasyon</t>
  </si>
  <si>
    <t>DMISH.IS^E18 (expired)</t>
  </si>
  <si>
    <t>ODAS Elektrik</t>
  </si>
  <si>
    <t xml:space="preserve">ODAS.IS </t>
  </si>
  <si>
    <t>Pegasus Hava</t>
  </si>
  <si>
    <t xml:space="preserve">PGSUS.IS </t>
  </si>
  <si>
    <t>Ekiz Kimya</t>
  </si>
  <si>
    <t xml:space="preserve">EKIZ.IS </t>
  </si>
  <si>
    <t>Transturk</t>
  </si>
  <si>
    <t>TRNSK.IS^D18 (expired)</t>
  </si>
  <si>
    <t>Ran Lojistik</t>
  </si>
  <si>
    <t>RANLO.IS^I14 (expired)</t>
  </si>
  <si>
    <t>Goldas</t>
  </si>
  <si>
    <t>GOLDS.IS^D13 (expired)</t>
  </si>
  <si>
    <t>Halk GYO</t>
  </si>
  <si>
    <t xml:space="preserve">HLGYO.IS </t>
  </si>
  <si>
    <t>Metal</t>
  </si>
  <si>
    <t>METAL.IS^A21 (expired)</t>
  </si>
  <si>
    <t>MEMS1.IS^B13 (expired)</t>
  </si>
  <si>
    <t>Mango Gida</t>
  </si>
  <si>
    <t>MANGO.IS^D17 (expired)</t>
  </si>
  <si>
    <t>Seker Pilic Ve</t>
  </si>
  <si>
    <t>SKPLC.IS^B15 (expired)</t>
  </si>
  <si>
    <t>Akis GYO</t>
  </si>
  <si>
    <t xml:space="preserve">AKSGY.IS </t>
  </si>
  <si>
    <t>Ak-Al</t>
  </si>
  <si>
    <t>AKALT.IS^A13 (expired)</t>
  </si>
  <si>
    <t>Tumosan</t>
  </si>
  <si>
    <t xml:space="preserve">TMSN.IS </t>
  </si>
  <si>
    <t>Bera Holding</t>
  </si>
  <si>
    <t xml:space="preserve">BERA.IS </t>
  </si>
  <si>
    <t>Ata GYO</t>
  </si>
  <si>
    <t xml:space="preserve">ATAGY.IS </t>
  </si>
  <si>
    <t>Acibadem Sag</t>
  </si>
  <si>
    <t>ACIBD.IS^J12 (expired)</t>
  </si>
  <si>
    <t>Jantsa</t>
  </si>
  <si>
    <t xml:space="preserve">JANTS.IS </t>
  </si>
  <si>
    <t>Prizma Pres</t>
  </si>
  <si>
    <t xml:space="preserve">PRZMA.IS </t>
  </si>
  <si>
    <t>YK Leasing</t>
  </si>
  <si>
    <t>YKFIN.IS^G12 (expired)</t>
  </si>
  <si>
    <t>Aciselsan</t>
  </si>
  <si>
    <t xml:space="preserve">ACSEL.IS </t>
  </si>
  <si>
    <t>Akdeniz Yatirim</t>
  </si>
  <si>
    <t xml:space="preserve">AKYHO.IS </t>
  </si>
  <si>
    <t>Flap Kongre</t>
  </si>
  <si>
    <t xml:space="preserve">FLAP.IS </t>
  </si>
  <si>
    <t>TGS Dis</t>
  </si>
  <si>
    <t xml:space="preserve">TGSAS.IS </t>
  </si>
  <si>
    <t>Polisan Holding</t>
  </si>
  <si>
    <t xml:space="preserve">POLHO.IS </t>
  </si>
  <si>
    <t>Ozak GYO</t>
  </si>
  <si>
    <t xml:space="preserve">OZKGY.IS </t>
  </si>
  <si>
    <t>Teknosa</t>
  </si>
  <si>
    <t xml:space="preserve">TKNSA.IS </t>
  </si>
  <si>
    <t>Orge Enerji</t>
  </si>
  <si>
    <t xml:space="preserve">ORGE.IS </t>
  </si>
  <si>
    <t>Berkosan</t>
  </si>
  <si>
    <t xml:space="preserve">BRKSN.IS </t>
  </si>
  <si>
    <t>Isiklar Enerji</t>
  </si>
  <si>
    <t xml:space="preserve">IEYHO.IS </t>
  </si>
  <si>
    <t>AVOD</t>
  </si>
  <si>
    <t xml:space="preserve">AVOD.IS </t>
  </si>
  <si>
    <t>Adese</t>
  </si>
  <si>
    <t xml:space="preserve">ADESE.IS </t>
  </si>
  <si>
    <t>Mepet Metro</t>
  </si>
  <si>
    <t xml:space="preserve">MEPET.IS </t>
  </si>
  <si>
    <t>Burcelik</t>
  </si>
  <si>
    <t xml:space="preserve">BURCE.IS </t>
  </si>
  <si>
    <t>Saray</t>
  </si>
  <si>
    <t xml:space="preserve">SAMAT.IS </t>
  </si>
  <si>
    <t>Ihlas Gymkl</t>
  </si>
  <si>
    <t xml:space="preserve">IHLGM.IS </t>
  </si>
  <si>
    <t>Dagi</t>
  </si>
  <si>
    <t xml:space="preserve">DAGI.IS </t>
  </si>
  <si>
    <t>Bilici Yatirim</t>
  </si>
  <si>
    <t xml:space="preserve">BLCYT.IS </t>
  </si>
  <si>
    <t>Hateks</t>
  </si>
  <si>
    <t xml:space="preserve">HATEK.IS </t>
  </si>
  <si>
    <t>Akfen GYO</t>
  </si>
  <si>
    <t xml:space="preserve">AKFGY.IS </t>
  </si>
  <si>
    <t xml:space="preserve">KLGYO.IS </t>
  </si>
  <si>
    <t>Lokman Hekim</t>
  </si>
  <si>
    <t xml:space="preserve">LKMNH.IS </t>
  </si>
  <si>
    <t>Fortis Bk</t>
  </si>
  <si>
    <t>FORTS.IS^B11 (expired)</t>
  </si>
  <si>
    <t>Bizim</t>
  </si>
  <si>
    <t xml:space="preserve">BIZIM.IS </t>
  </si>
  <si>
    <t>Alarko Holding</t>
  </si>
  <si>
    <t xml:space="preserve">ALARK.IS </t>
  </si>
  <si>
    <t>Avrasya GYO</t>
  </si>
  <si>
    <t xml:space="preserve">AVGYO.IS </t>
  </si>
  <si>
    <t>MTE</t>
  </si>
  <si>
    <t xml:space="preserve">MAKTK.IS </t>
  </si>
  <si>
    <t>Cemas</t>
  </si>
  <si>
    <t xml:space="preserve">CEMAS.IS </t>
  </si>
  <si>
    <t>Datagate</t>
  </si>
  <si>
    <t xml:space="preserve">DGATE.IS </t>
  </si>
  <si>
    <t>Despec</t>
  </si>
  <si>
    <t xml:space="preserve">DESPC.IS </t>
  </si>
  <si>
    <t>Gozde</t>
  </si>
  <si>
    <t xml:space="preserve">GOZDE.IS </t>
  </si>
  <si>
    <t>Ingram Micro</t>
  </si>
  <si>
    <t xml:space="preserve">INGRM.IS </t>
  </si>
  <si>
    <t>Katmerciler</t>
  </si>
  <si>
    <t xml:space="preserve">KATMR.IS </t>
  </si>
  <si>
    <t>Silverline</t>
  </si>
  <si>
    <t xml:space="preserve">SILVR.IS </t>
  </si>
  <si>
    <t>DO &amp; CO</t>
  </si>
  <si>
    <t xml:space="preserve">DOCO.IS </t>
  </si>
  <si>
    <t>Emlak Konut GYO</t>
  </si>
  <si>
    <t xml:space="preserve">EKGYO.IS </t>
  </si>
  <si>
    <t>Sütun1</t>
  </si>
  <si>
    <t>Temiz ticker</t>
  </si>
  <si>
    <t>Leavers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</si>
</sst>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51FFA"/>
        <bgColor rgb="FF051F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versJoiners" displayName="LeaversJoiners" ref="A1:F730" totalsRowShown="0">
  <autoFilter ref="A1:F730" xr:uid="{00000000-0009-0000-0100-000001000000}"/>
  <tableColumns count="6">
    <tableColumn id="1" xr3:uid="{00000000-0010-0000-0000-000001000000}" name="Status"/>
    <tableColumn id="2" xr3:uid="{00000000-0010-0000-0000-000002000000}" name="Issuer"/>
    <tableColumn id="3" xr3:uid="{00000000-0010-0000-0000-000003000000}" name="Code"/>
    <tableColumn id="4" xr3:uid="{00000000-0010-0000-0000-000004000000}" name="Date"/>
    <tableColumn id="5" xr3:uid="{EA57FCE8-25B3-486B-AD97-7CBBB9AEDB72}" name="Sütun1" dataDxfId="1">
      <calculatedColumnFormula>IF(RIGHT(LeaversJoiners[[#This Row],[Code]],1)=")",1,0)</calculatedColumnFormula>
    </tableColumn>
    <tableColumn id="6" xr3:uid="{5F38A1E5-C551-403B-833D-40458C16B994}" name="Temiz ticker" dataDxfId="0">
      <calculatedColumnFormula>IF(LeaversJoiners[[#This Row],[Sütun1]]=1,LEFT(LeaversJoiners[[#This Row],[Code]],FIND("^",LeaversJoiners[[#This Row],[Code]])-1),LeaversJoiners[[#This Row],[Code]])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30"/>
  <sheetViews>
    <sheetView tabSelected="1" workbookViewId="0">
      <selection activeCell="C5" sqref="C5"/>
    </sheetView>
  </sheetViews>
  <sheetFormatPr defaultRowHeight="15" x14ac:dyDescent="0.25"/>
  <cols>
    <col min="1" max="1" width="55.28515625" customWidth="1"/>
    <col min="2" max="2" width="17.85546875" customWidth="1"/>
    <col min="3" max="3" width="22.5703125" customWidth="1"/>
    <col min="4" max="4" width="13.5703125" customWidth="1"/>
    <col min="5" max="5" width="9.140625" customWidth="1"/>
    <col min="6" max="6" width="14" bestFit="1" customWidth="1"/>
    <col min="7" max="20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984</v>
      </c>
      <c r="F1" t="s">
        <v>985</v>
      </c>
      <c r="L1" t="s">
        <v>986</v>
      </c>
    </row>
    <row r="2" spans="1:12" x14ac:dyDescent="0.25">
      <c r="A2" t="s">
        <v>4</v>
      </c>
      <c r="B2" t="s">
        <v>5</v>
      </c>
      <c r="C2" t="s">
        <v>6</v>
      </c>
      <c r="D2" s="2">
        <v>46166</v>
      </c>
      <c r="E2">
        <f>IF(RIGHT(LeaversJoiners[[#This Row],[Code]],1)=")",1,0)</f>
        <v>0</v>
      </c>
      <c r="F2" t="str">
        <f>IF(LeaversJoiners[[#This Row],[Sütun1]]=1,LEFT(LeaversJoiners[[#This Row],[Code]],FIND("^",LeaversJoiners[[#This Row],[Code]])-1),LeaversJoiners[[#This Row],[Code]])</f>
        <v xml:space="preserve">EKDMR.IS </v>
      </c>
    </row>
    <row r="3" spans="1:12" x14ac:dyDescent="0.25">
      <c r="A3" t="s">
        <v>4</v>
      </c>
      <c r="B3" t="s">
        <v>7</v>
      </c>
      <c r="C3" t="s">
        <v>8</v>
      </c>
      <c r="D3" s="2">
        <v>46148</v>
      </c>
      <c r="E3">
        <f>IF(RIGHT(LeaversJoiners[[#This Row],[Code]],1)=")",1,0)</f>
        <v>0</v>
      </c>
      <c r="F3" t="str">
        <f>IF(LeaversJoiners[[#This Row],[Sütun1]]=1,LEFT(LeaversJoiners[[#This Row],[Code]],FIND("^",LeaversJoiners[[#This Row],[Code]])-1),LeaversJoiners[[#This Row],[Code]])</f>
        <v xml:space="preserve">AAGYO.IS </v>
      </c>
    </row>
    <row r="4" spans="1:12" x14ac:dyDescent="0.25">
      <c r="A4" t="s">
        <v>4</v>
      </c>
      <c r="B4" t="s">
        <v>9</v>
      </c>
      <c r="C4" t="s">
        <v>10</v>
      </c>
      <c r="D4" s="2">
        <v>46148</v>
      </c>
      <c r="E4">
        <f>IF(RIGHT(LeaversJoiners[[#This Row],[Code]],1)=")",1,0)</f>
        <v>0</v>
      </c>
      <c r="F4" t="str">
        <f>IF(LeaversJoiners[[#This Row],[Sütun1]]=1,LEFT(LeaversJoiners[[#This Row],[Code]],FIND("^",LeaversJoiners[[#This Row],[Code]])-1),LeaversJoiners[[#This Row],[Code]])</f>
        <v xml:space="preserve">AKHAN.IS </v>
      </c>
    </row>
    <row r="5" spans="1:12" x14ac:dyDescent="0.25">
      <c r="A5" t="s">
        <v>4</v>
      </c>
      <c r="B5" t="s">
        <v>11</v>
      </c>
      <c r="C5" t="s">
        <v>12</v>
      </c>
      <c r="D5" s="2">
        <v>46148</v>
      </c>
      <c r="E5">
        <f>IF(RIGHT(LeaversJoiners[[#This Row],[Code]],1)=")",1,0)</f>
        <v>0</v>
      </c>
      <c r="F5" t="str">
        <f>IF(LeaversJoiners[[#This Row],[Sütun1]]=1,LEFT(LeaversJoiners[[#This Row],[Code]],FIND("^",LeaversJoiners[[#This Row],[Code]])-1),LeaversJoiners[[#This Row],[Code]])</f>
        <v xml:space="preserve">ATATR.IS </v>
      </c>
    </row>
    <row r="6" spans="1:12" x14ac:dyDescent="0.25">
      <c r="A6" t="s">
        <v>4</v>
      </c>
      <c r="B6" t="s">
        <v>13</v>
      </c>
      <c r="C6" t="s">
        <v>14</v>
      </c>
      <c r="D6" s="2">
        <v>46148</v>
      </c>
      <c r="E6">
        <f>IF(RIGHT(LeaversJoiners[[#This Row],[Code]],1)=")",1,0)</f>
        <v>0</v>
      </c>
      <c r="F6" t="str">
        <f>IF(LeaversJoiners[[#This Row],[Sütun1]]=1,LEFT(LeaversJoiners[[#This Row],[Code]],FIND("^",LeaversJoiners[[#This Row],[Code]])-1),LeaversJoiners[[#This Row],[Code]])</f>
        <v xml:space="preserve">BESTE.IS </v>
      </c>
    </row>
    <row r="7" spans="1:12" x14ac:dyDescent="0.25">
      <c r="A7" t="s">
        <v>4</v>
      </c>
      <c r="B7" t="s">
        <v>15</v>
      </c>
      <c r="C7" t="s">
        <v>16</v>
      </c>
      <c r="D7" s="2">
        <v>46148</v>
      </c>
      <c r="E7">
        <f>IF(RIGHT(LeaversJoiners[[#This Row],[Code]],1)=")",1,0)</f>
        <v>0</v>
      </c>
      <c r="F7" t="str">
        <f>IF(LeaversJoiners[[#This Row],[Sütun1]]=1,LEFT(LeaversJoiners[[#This Row],[Code]],FIND("^",LeaversJoiners[[#This Row],[Code]])-1),LeaversJoiners[[#This Row],[Code]])</f>
        <v xml:space="preserve">EMPAE.IS </v>
      </c>
    </row>
    <row r="8" spans="1:12" x14ac:dyDescent="0.25">
      <c r="A8" t="s">
        <v>4</v>
      </c>
      <c r="B8" t="s">
        <v>17</v>
      </c>
      <c r="C8" t="s">
        <v>18</v>
      </c>
      <c r="D8" s="2">
        <v>46148</v>
      </c>
      <c r="E8">
        <f>IF(RIGHT(LeaversJoiners[[#This Row],[Code]],1)=")",1,0)</f>
        <v>0</v>
      </c>
      <c r="F8" t="str">
        <f>IF(LeaversJoiners[[#This Row],[Sütun1]]=1,LEFT(LeaversJoiners[[#This Row],[Code]],FIND("^",LeaversJoiners[[#This Row],[Code]])-1),LeaversJoiners[[#This Row],[Code]])</f>
        <v xml:space="preserve">GENKM.IS </v>
      </c>
    </row>
    <row r="9" spans="1:12" x14ac:dyDescent="0.25">
      <c r="A9" t="s">
        <v>4</v>
      </c>
      <c r="B9" t="s">
        <v>19</v>
      </c>
      <c r="C9" t="s">
        <v>20</v>
      </c>
      <c r="D9" s="2">
        <v>46148</v>
      </c>
      <c r="E9">
        <f>IF(RIGHT(LeaversJoiners[[#This Row],[Code]],1)=")",1,0)</f>
        <v>0</v>
      </c>
      <c r="F9" t="str">
        <f>IF(LeaversJoiners[[#This Row],[Sütun1]]=1,LEFT(LeaversJoiners[[#This Row],[Code]],FIND("^",LeaversJoiners[[#This Row],[Code]])-1),LeaversJoiners[[#This Row],[Code]])</f>
        <v xml:space="preserve">KUVVA.IS </v>
      </c>
    </row>
    <row r="10" spans="1:12" x14ac:dyDescent="0.25">
      <c r="A10" t="s">
        <v>4</v>
      </c>
      <c r="B10" t="s">
        <v>21</v>
      </c>
      <c r="C10" t="s">
        <v>22</v>
      </c>
      <c r="D10" s="2">
        <v>46148</v>
      </c>
      <c r="E10">
        <f>IF(RIGHT(LeaversJoiners[[#This Row],[Code]],1)=")",1,0)</f>
        <v>0</v>
      </c>
      <c r="F10" t="str">
        <f>IF(LeaversJoiners[[#This Row],[Sütun1]]=1,LEFT(LeaversJoiners[[#This Row],[Code]],FIND("^",LeaversJoiners[[#This Row],[Code]])-1),LeaversJoiners[[#This Row],[Code]])</f>
        <v xml:space="preserve">LXGYO.IS </v>
      </c>
    </row>
    <row r="11" spans="1:12" x14ac:dyDescent="0.25">
      <c r="A11" t="s">
        <v>4</v>
      </c>
      <c r="B11" t="s">
        <v>23</v>
      </c>
      <c r="C11" t="s">
        <v>24</v>
      </c>
      <c r="D11" s="2">
        <v>46148</v>
      </c>
      <c r="E11">
        <f>IF(RIGHT(LeaversJoiners[[#This Row],[Code]],1)=")",1,0)</f>
        <v>0</v>
      </c>
      <c r="F11" t="str">
        <f>IF(LeaversJoiners[[#This Row],[Sütun1]]=1,LEFT(LeaversJoiners[[#This Row],[Code]],FIND("^",LeaversJoiners[[#This Row],[Code]])-1),LeaversJoiners[[#This Row],[Code]])</f>
        <v xml:space="preserve">MCARD.IS </v>
      </c>
    </row>
    <row r="12" spans="1:12" x14ac:dyDescent="0.25">
      <c r="A12" t="s">
        <v>4</v>
      </c>
      <c r="B12" t="s">
        <v>25</v>
      </c>
      <c r="C12" t="s">
        <v>26</v>
      </c>
      <c r="D12" s="2">
        <v>46148</v>
      </c>
      <c r="E12">
        <f>IF(RIGHT(LeaversJoiners[[#This Row],[Code]],1)=")",1,0)</f>
        <v>0</v>
      </c>
      <c r="F12" t="str">
        <f>IF(LeaversJoiners[[#This Row],[Sütun1]]=1,LEFT(LeaversJoiners[[#This Row],[Code]],FIND("^",LeaversJoiners[[#This Row],[Code]])-1),LeaversJoiners[[#This Row],[Code]])</f>
        <v xml:space="preserve">NETCD.IS </v>
      </c>
    </row>
    <row r="13" spans="1:12" x14ac:dyDescent="0.25">
      <c r="A13" t="s">
        <v>4</v>
      </c>
      <c r="B13" t="s">
        <v>27</v>
      </c>
      <c r="C13" t="s">
        <v>28</v>
      </c>
      <c r="D13" s="2">
        <v>46148</v>
      </c>
      <c r="E13">
        <f>IF(RIGHT(LeaversJoiners[[#This Row],[Code]],1)=")",1,0)</f>
        <v>0</v>
      </c>
      <c r="F13" t="str">
        <f>IF(LeaversJoiners[[#This Row],[Sütun1]]=1,LEFT(LeaversJoiners[[#This Row],[Code]],FIND("^",LeaversJoiners[[#This Row],[Code]])-1),LeaversJoiners[[#This Row],[Code]])</f>
        <v xml:space="preserve">SVGYO.IS </v>
      </c>
    </row>
    <row r="14" spans="1:12" x14ac:dyDescent="0.25">
      <c r="A14" t="s">
        <v>29</v>
      </c>
      <c r="B14" t="s">
        <v>30</v>
      </c>
      <c r="C14" t="s">
        <v>31</v>
      </c>
      <c r="D14" s="2">
        <v>46148</v>
      </c>
      <c r="E14">
        <f>IF(RIGHT(LeaversJoiners[[#This Row],[Code]],1)=")",1,0)</f>
        <v>0</v>
      </c>
      <c r="F14" t="str">
        <f>IF(LeaversJoiners[[#This Row],[Sütun1]]=1,LEFT(LeaversJoiners[[#This Row],[Code]],FIND("^",LeaversJoiners[[#This Row],[Code]])-1),LeaversJoiners[[#This Row],[Code]])</f>
        <v xml:space="preserve">YYAPI.IS </v>
      </c>
    </row>
    <row r="15" spans="1:12" x14ac:dyDescent="0.25">
      <c r="A15" t="s">
        <v>4</v>
      </c>
      <c r="B15" t="s">
        <v>32</v>
      </c>
      <c r="C15" t="s">
        <v>33</v>
      </c>
      <c r="D15" s="2">
        <v>46052</v>
      </c>
      <c r="E15">
        <f>IF(RIGHT(LeaversJoiners[[#This Row],[Code]],1)=")",1,0)</f>
        <v>0</v>
      </c>
      <c r="F15" t="str">
        <f>IF(LeaversJoiners[[#This Row],[Sütun1]]=1,LEFT(LeaversJoiners[[#This Row],[Code]],FIND("^",LeaversJoiners[[#This Row],[Code]])-1),LeaversJoiners[[#This Row],[Code]])</f>
        <v xml:space="preserve">UCAYM.IS </v>
      </c>
    </row>
    <row r="16" spans="1:12" x14ac:dyDescent="0.25">
      <c r="A16" t="s">
        <v>4</v>
      </c>
      <c r="B16" t="s">
        <v>34</v>
      </c>
      <c r="C16" t="s">
        <v>35</v>
      </c>
      <c r="D16" s="2">
        <v>46037</v>
      </c>
      <c r="E16">
        <f>IF(RIGHT(LeaversJoiners[[#This Row],[Code]],1)=")",1,0)</f>
        <v>0</v>
      </c>
      <c r="F16" t="str">
        <f>IF(LeaversJoiners[[#This Row],[Sütun1]]=1,LEFT(LeaversJoiners[[#This Row],[Code]],FIND("^",LeaversJoiners[[#This Row],[Code]])-1),LeaversJoiners[[#This Row],[Code]])</f>
        <v xml:space="preserve">FRMPL.IS </v>
      </c>
    </row>
    <row r="17" spans="1:6" x14ac:dyDescent="0.25">
      <c r="A17" t="s">
        <v>4</v>
      </c>
      <c r="B17" t="s">
        <v>36</v>
      </c>
      <c r="C17" t="s">
        <v>37</v>
      </c>
      <c r="D17" s="2">
        <v>46037</v>
      </c>
      <c r="E17">
        <f>IF(RIGHT(LeaversJoiners[[#This Row],[Code]],1)=")",1,0)</f>
        <v>0</v>
      </c>
      <c r="F17" t="str">
        <f>IF(LeaversJoiners[[#This Row],[Sütun1]]=1,LEFT(LeaversJoiners[[#This Row],[Code]],FIND("^",LeaversJoiners[[#This Row],[Code]])-1),LeaversJoiners[[#This Row],[Code]])</f>
        <v xml:space="preserve">MEYSU.IS </v>
      </c>
    </row>
    <row r="18" spans="1:6" x14ac:dyDescent="0.25">
      <c r="A18" t="s">
        <v>4</v>
      </c>
      <c r="B18" t="s">
        <v>38</v>
      </c>
      <c r="C18" t="s">
        <v>39</v>
      </c>
      <c r="D18" s="2">
        <v>46037</v>
      </c>
      <c r="E18">
        <f>IF(RIGHT(LeaversJoiners[[#This Row],[Code]],1)=")",1,0)</f>
        <v>0</v>
      </c>
      <c r="F18" t="str">
        <f>IF(LeaversJoiners[[#This Row],[Sütun1]]=1,LEFT(LeaversJoiners[[#This Row],[Code]],FIND("^",LeaversJoiners[[#This Row],[Code]])-1),LeaversJoiners[[#This Row],[Code]])</f>
        <v xml:space="preserve">ZGYO.IS </v>
      </c>
    </row>
    <row r="19" spans="1:6" x14ac:dyDescent="0.25">
      <c r="A19" t="s">
        <v>4</v>
      </c>
      <c r="B19" t="s">
        <v>40</v>
      </c>
      <c r="C19" t="s">
        <v>41</v>
      </c>
      <c r="D19" s="2">
        <v>46031</v>
      </c>
      <c r="E19">
        <f>IF(RIGHT(LeaversJoiners[[#This Row],[Code]],1)=")",1,0)</f>
        <v>0</v>
      </c>
      <c r="F19" t="str">
        <f>IF(LeaversJoiners[[#This Row],[Sütun1]]=1,LEFT(LeaversJoiners[[#This Row],[Code]],FIND("^",LeaversJoiners[[#This Row],[Code]])-1),LeaversJoiners[[#This Row],[Code]])</f>
        <v xml:space="preserve">ARFYE.IS </v>
      </c>
    </row>
    <row r="20" spans="1:6" x14ac:dyDescent="0.25">
      <c r="A20" t="s">
        <v>4</v>
      </c>
      <c r="B20" t="s">
        <v>42</v>
      </c>
      <c r="C20" t="s">
        <v>43</v>
      </c>
      <c r="D20" s="2">
        <v>46031</v>
      </c>
      <c r="E20">
        <f>IF(RIGHT(LeaversJoiners[[#This Row],[Code]],1)=")",1,0)</f>
        <v>0</v>
      </c>
      <c r="F20" t="str">
        <f>IF(LeaversJoiners[[#This Row],[Sütun1]]=1,LEFT(LeaversJoiners[[#This Row],[Code]],FIND("^",LeaversJoiners[[#This Row],[Code]])-1),LeaversJoiners[[#This Row],[Code]])</f>
        <v xml:space="preserve">ZERGY.IS </v>
      </c>
    </row>
    <row r="21" spans="1:6" x14ac:dyDescent="0.25">
      <c r="A21" t="s">
        <v>4</v>
      </c>
      <c r="B21" t="s">
        <v>44</v>
      </c>
      <c r="C21" t="s">
        <v>45</v>
      </c>
      <c r="D21" s="2">
        <v>45985</v>
      </c>
      <c r="E21">
        <f>IF(RIGHT(LeaversJoiners[[#This Row],[Code]],1)=")",1,0)</f>
        <v>0</v>
      </c>
      <c r="F21" t="str">
        <f>IF(LeaversJoiners[[#This Row],[Sütun1]]=1,LEFT(LeaversJoiners[[#This Row],[Code]],FIND("^",LeaversJoiners[[#This Row],[Code]])-1),LeaversJoiners[[#This Row],[Code]])</f>
        <v xml:space="preserve">PAHOL.IS </v>
      </c>
    </row>
    <row r="22" spans="1:6" x14ac:dyDescent="0.25">
      <c r="A22" t="s">
        <v>4</v>
      </c>
      <c r="B22" t="s">
        <v>46</v>
      </c>
      <c r="C22" t="s">
        <v>47</v>
      </c>
      <c r="D22" s="2">
        <v>45982</v>
      </c>
      <c r="E22">
        <f>IF(RIGHT(LeaversJoiners[[#This Row],[Code]],1)=")",1,0)</f>
        <v>0</v>
      </c>
      <c r="F22" t="str">
        <f>IF(LeaversJoiners[[#This Row],[Sütun1]]=1,LEFT(LeaversJoiners[[#This Row],[Code]],FIND("^",LeaversJoiners[[#This Row],[Code]])-1),LeaversJoiners[[#This Row],[Code]])</f>
        <v xml:space="preserve">VAKFA.IS </v>
      </c>
    </row>
    <row r="23" spans="1:6" x14ac:dyDescent="0.25">
      <c r="A23" t="s">
        <v>4</v>
      </c>
      <c r="B23" t="s">
        <v>48</v>
      </c>
      <c r="C23" t="s">
        <v>49</v>
      </c>
      <c r="D23" s="2">
        <v>45964</v>
      </c>
      <c r="E23">
        <f>IF(RIGHT(LeaversJoiners[[#This Row],[Code]],1)=")",1,0)</f>
        <v>0</v>
      </c>
      <c r="F23" t="str">
        <f>IF(LeaversJoiners[[#This Row],[Sütun1]]=1,LEFT(LeaversJoiners[[#This Row],[Code]],FIND("^",LeaversJoiners[[#This Row],[Code]])-1),LeaversJoiners[[#This Row],[Code]])</f>
        <v xml:space="preserve">ECOGR.IS </v>
      </c>
    </row>
    <row r="24" spans="1:6" x14ac:dyDescent="0.25">
      <c r="A24" t="s">
        <v>4</v>
      </c>
      <c r="B24" t="s">
        <v>50</v>
      </c>
      <c r="C24" t="s">
        <v>51</v>
      </c>
      <c r="D24" s="2">
        <v>45916</v>
      </c>
      <c r="E24">
        <f>IF(RIGHT(LeaversJoiners[[#This Row],[Code]],1)=")",1,0)</f>
        <v>0</v>
      </c>
      <c r="F24" t="str">
        <f>IF(LeaversJoiners[[#This Row],[Sütun1]]=1,LEFT(LeaversJoiners[[#This Row],[Code]],FIND("^",LeaversJoiners[[#This Row],[Code]])-1),LeaversJoiners[[#This Row],[Code]])</f>
        <v xml:space="preserve">MARMR.IS </v>
      </c>
    </row>
    <row r="25" spans="1:6" x14ac:dyDescent="0.25">
      <c r="A25" t="s">
        <v>4</v>
      </c>
      <c r="B25" t="s">
        <v>52</v>
      </c>
      <c r="C25" t="s">
        <v>53</v>
      </c>
      <c r="D25" s="2">
        <v>45911</v>
      </c>
      <c r="E25">
        <f>IF(RIGHT(LeaversJoiners[[#This Row],[Code]],1)=")",1,0)</f>
        <v>0</v>
      </c>
      <c r="F25" t="str">
        <f>IF(LeaversJoiners[[#This Row],[Sütun1]]=1,LEFT(LeaversJoiners[[#This Row],[Code]],FIND("^",LeaversJoiners[[#This Row],[Code]])-1),LeaversJoiners[[#This Row],[Code]])</f>
        <v xml:space="preserve">DOFRB.IS </v>
      </c>
    </row>
    <row r="26" spans="1:6" x14ac:dyDescent="0.25">
      <c r="A26" t="s">
        <v>29</v>
      </c>
      <c r="B26" t="s">
        <v>54</v>
      </c>
      <c r="C26" t="s">
        <v>55</v>
      </c>
      <c r="D26" s="2">
        <v>45896</v>
      </c>
      <c r="E26">
        <f>IF(RIGHT(LeaversJoiners[[#This Row],[Code]],1)=")",1,0)</f>
        <v>0</v>
      </c>
      <c r="F26" t="str">
        <f>IF(LeaversJoiners[[#This Row],[Sütun1]]=1,LEFT(LeaversJoiners[[#This Row],[Code]],FIND("^",LeaversJoiners[[#This Row],[Code]])-1),LeaversJoiners[[#This Row],[Code]])</f>
        <v xml:space="preserve">AYES.IS </v>
      </c>
    </row>
    <row r="27" spans="1:6" x14ac:dyDescent="0.25">
      <c r="A27" t="s">
        <v>29</v>
      </c>
      <c r="B27" t="s">
        <v>56</v>
      </c>
      <c r="C27" t="s">
        <v>57</v>
      </c>
      <c r="D27" s="2">
        <v>45896</v>
      </c>
      <c r="E27">
        <f>IF(RIGHT(LeaversJoiners[[#This Row],[Code]],1)=")",1,0)</f>
        <v>0</v>
      </c>
      <c r="F27" t="str">
        <f>IF(LeaversJoiners[[#This Row],[Sütun1]]=1,LEFT(LeaversJoiners[[#This Row],[Code]],FIND("^",LeaversJoiners[[#This Row],[Code]])-1),LeaversJoiners[[#This Row],[Code]])</f>
        <v xml:space="preserve">BALAT.IS </v>
      </c>
    </row>
    <row r="28" spans="1:6" x14ac:dyDescent="0.25">
      <c r="A28" t="s">
        <v>29</v>
      </c>
      <c r="B28" t="s">
        <v>58</v>
      </c>
      <c r="C28" t="s">
        <v>59</v>
      </c>
      <c r="D28" s="2">
        <v>45896</v>
      </c>
      <c r="E28">
        <f>IF(RIGHT(LeaversJoiners[[#This Row],[Code]],1)=")",1,0)</f>
        <v>0</v>
      </c>
      <c r="F28" t="str">
        <f>IF(LeaversJoiners[[#This Row],[Sütun1]]=1,LEFT(LeaversJoiners[[#This Row],[Code]],FIND("^",LeaversJoiners[[#This Row],[Code]])-1),LeaversJoiners[[#This Row],[Code]])</f>
        <v xml:space="preserve">BASCM.IS </v>
      </c>
    </row>
    <row r="29" spans="1:6" x14ac:dyDescent="0.25">
      <c r="A29" t="s">
        <v>29</v>
      </c>
      <c r="B29" t="s">
        <v>60</v>
      </c>
      <c r="C29" t="s">
        <v>61</v>
      </c>
      <c r="D29" s="2">
        <v>45896</v>
      </c>
      <c r="E29">
        <f>IF(RIGHT(LeaversJoiners[[#This Row],[Code]],1)=")",1,0)</f>
        <v>0</v>
      </c>
      <c r="F29" t="str">
        <f>IF(LeaversJoiners[[#This Row],[Sütun1]]=1,LEFT(LeaversJoiners[[#This Row],[Code]],FIND("^",LeaversJoiners[[#This Row],[Code]])-1),LeaversJoiners[[#This Row],[Code]])</f>
        <v xml:space="preserve">CMENT.IS </v>
      </c>
    </row>
    <row r="30" spans="1:6" x14ac:dyDescent="0.25">
      <c r="A30" t="s">
        <v>29</v>
      </c>
      <c r="B30" t="s">
        <v>62</v>
      </c>
      <c r="C30" t="s">
        <v>63</v>
      </c>
      <c r="D30" s="2">
        <v>45896</v>
      </c>
      <c r="E30">
        <f>IF(RIGHT(LeaversJoiners[[#This Row],[Code]],1)=")",1,0)</f>
        <v>0</v>
      </c>
      <c r="F30" t="str">
        <f>IF(LeaversJoiners[[#This Row],[Sütun1]]=1,LEFT(LeaversJoiners[[#This Row],[Code]],FIND("^",LeaversJoiners[[#This Row],[Code]])-1),LeaversJoiners[[#This Row],[Code]])</f>
        <v xml:space="preserve">INTEK.IS </v>
      </c>
    </row>
    <row r="31" spans="1:6" x14ac:dyDescent="0.25">
      <c r="A31" t="s">
        <v>29</v>
      </c>
      <c r="B31" t="s">
        <v>64</v>
      </c>
      <c r="C31" t="s">
        <v>65</v>
      </c>
      <c r="D31" s="2">
        <v>45896</v>
      </c>
      <c r="E31">
        <f>IF(RIGHT(LeaversJoiners[[#This Row],[Code]],1)=")",1,0)</f>
        <v>0</v>
      </c>
      <c r="F31" t="str">
        <f>IF(LeaversJoiners[[#This Row],[Sütun1]]=1,LEFT(LeaversJoiners[[#This Row],[Code]],FIND("^",LeaversJoiners[[#This Row],[Code]])-1),LeaversJoiners[[#This Row],[Code]])</f>
        <v xml:space="preserve">ISBIR.IS </v>
      </c>
    </row>
    <row r="32" spans="1:6" x14ac:dyDescent="0.25">
      <c r="A32" t="s">
        <v>29</v>
      </c>
      <c r="B32" t="s">
        <v>66</v>
      </c>
      <c r="C32" t="s">
        <v>67</v>
      </c>
      <c r="D32" s="2">
        <v>45896</v>
      </c>
      <c r="E32">
        <f>IF(RIGHT(LeaversJoiners[[#This Row],[Code]],1)=")",1,0)</f>
        <v>0</v>
      </c>
      <c r="F32" t="str">
        <f>IF(LeaversJoiners[[#This Row],[Sütun1]]=1,LEFT(LeaversJoiners[[#This Row],[Code]],FIND("^",LeaversJoiners[[#This Row],[Code]])-1),LeaversJoiners[[#This Row],[Code]])</f>
        <v xml:space="preserve">KENT.IS </v>
      </c>
    </row>
    <row r="33" spans="1:6" x14ac:dyDescent="0.25">
      <c r="A33" t="s">
        <v>29</v>
      </c>
      <c r="B33" t="s">
        <v>68</v>
      </c>
      <c r="C33" t="s">
        <v>69</v>
      </c>
      <c r="D33" s="2">
        <v>45896</v>
      </c>
      <c r="E33">
        <f>IF(RIGHT(LeaversJoiners[[#This Row],[Code]],1)=")",1,0)</f>
        <v>0</v>
      </c>
      <c r="F33" t="str">
        <f>IF(LeaversJoiners[[#This Row],[Sütun1]]=1,LEFT(LeaversJoiners[[#This Row],[Code]],FIND("^",LeaversJoiners[[#This Row],[Code]])-1),LeaversJoiners[[#This Row],[Code]])</f>
        <v xml:space="preserve">KSTUR.IS </v>
      </c>
    </row>
    <row r="34" spans="1:6" x14ac:dyDescent="0.25">
      <c r="A34" t="s">
        <v>29</v>
      </c>
      <c r="B34" t="s">
        <v>70</v>
      </c>
      <c r="C34" t="s">
        <v>71</v>
      </c>
      <c r="D34" s="2">
        <v>45896</v>
      </c>
      <c r="E34">
        <f>IF(RIGHT(LeaversJoiners[[#This Row],[Code]],1)=")",1,0)</f>
        <v>0</v>
      </c>
      <c r="F34" t="str">
        <f>IF(LeaversJoiners[[#This Row],[Sütun1]]=1,LEFT(LeaversJoiners[[#This Row],[Code]],FIND("^",LeaversJoiners[[#This Row],[Code]])-1),LeaversJoiners[[#This Row],[Code]])</f>
        <v xml:space="preserve">ORMA.IS </v>
      </c>
    </row>
    <row r="35" spans="1:6" x14ac:dyDescent="0.25">
      <c r="A35" t="s">
        <v>29</v>
      </c>
      <c r="B35" t="s">
        <v>72</v>
      </c>
      <c r="C35" t="s">
        <v>73</v>
      </c>
      <c r="D35" s="2">
        <v>45896</v>
      </c>
      <c r="E35">
        <f>IF(RIGHT(LeaversJoiners[[#This Row],[Code]],1)=")",1,0)</f>
        <v>0</v>
      </c>
      <c r="F35" t="str">
        <f>IF(LeaversJoiners[[#This Row],[Sütun1]]=1,LEFT(LeaversJoiners[[#This Row],[Code]],FIND("^",LeaversJoiners[[#This Row],[Code]])-1),LeaversJoiners[[#This Row],[Code]])</f>
        <v xml:space="preserve">QNBTR.IS </v>
      </c>
    </row>
    <row r="36" spans="1:6" x14ac:dyDescent="0.25">
      <c r="A36" t="s">
        <v>29</v>
      </c>
      <c r="B36" t="s">
        <v>74</v>
      </c>
      <c r="C36" t="s">
        <v>75</v>
      </c>
      <c r="D36" s="2">
        <v>45896</v>
      </c>
      <c r="E36">
        <f>IF(RIGHT(LeaversJoiners[[#This Row],[Code]],1)=")",1,0)</f>
        <v>0</v>
      </c>
      <c r="F36" t="str">
        <f>IF(LeaversJoiners[[#This Row],[Sütun1]]=1,LEFT(LeaversJoiners[[#This Row],[Code]],FIND("^",LeaversJoiners[[#This Row],[Code]])-1),LeaversJoiners[[#This Row],[Code]])</f>
        <v xml:space="preserve">QNBFK.IS </v>
      </c>
    </row>
    <row r="37" spans="1:6" x14ac:dyDescent="0.25">
      <c r="A37" t="s">
        <v>29</v>
      </c>
      <c r="B37" t="s">
        <v>76</v>
      </c>
      <c r="C37" t="s">
        <v>77</v>
      </c>
      <c r="D37" s="2">
        <v>45896</v>
      </c>
      <c r="E37">
        <f>IF(RIGHT(LeaversJoiners[[#This Row],[Code]],1)=")",1,0)</f>
        <v>0</v>
      </c>
      <c r="F37" t="str">
        <f>IF(LeaversJoiners[[#This Row],[Sütun1]]=1,LEFT(LeaversJoiners[[#This Row],[Code]],FIND("^",LeaversJoiners[[#This Row],[Code]])-1),LeaversJoiners[[#This Row],[Code]])</f>
        <v xml:space="preserve">SODSN.IS </v>
      </c>
    </row>
    <row r="38" spans="1:6" x14ac:dyDescent="0.25">
      <c r="A38" t="s">
        <v>29</v>
      </c>
      <c r="B38" t="s">
        <v>78</v>
      </c>
      <c r="C38" t="s">
        <v>79</v>
      </c>
      <c r="D38" s="2">
        <v>45896</v>
      </c>
      <c r="E38">
        <f>IF(RIGHT(LeaversJoiners[[#This Row],[Code]],1)=")",1,0)</f>
        <v>0</v>
      </c>
      <c r="F38" t="str">
        <f>IF(LeaversJoiners[[#This Row],[Sütun1]]=1,LEFT(LeaversJoiners[[#This Row],[Code]],FIND("^",LeaversJoiners[[#This Row],[Code]])-1),LeaversJoiners[[#This Row],[Code]])</f>
        <v xml:space="preserve">SNPAM.IS </v>
      </c>
    </row>
    <row r="39" spans="1:6" x14ac:dyDescent="0.25">
      <c r="A39" t="s">
        <v>29</v>
      </c>
      <c r="B39" t="s">
        <v>80</v>
      </c>
      <c r="C39" t="s">
        <v>81</v>
      </c>
      <c r="D39" s="2">
        <v>45896</v>
      </c>
      <c r="E39">
        <f>IF(RIGHT(LeaversJoiners[[#This Row],[Code]],1)=")",1,0)</f>
        <v>0</v>
      </c>
      <c r="F39" t="str">
        <f>IF(LeaversJoiners[[#This Row],[Sütun1]]=1,LEFT(LeaversJoiners[[#This Row],[Code]],FIND("^",LeaversJoiners[[#This Row],[Code]])-1),LeaversJoiners[[#This Row],[Code]])</f>
        <v xml:space="preserve">SUMAS.IS </v>
      </c>
    </row>
    <row r="40" spans="1:6" x14ac:dyDescent="0.25">
      <c r="A40" t="s">
        <v>29</v>
      </c>
      <c r="B40" t="s">
        <v>82</v>
      </c>
      <c r="C40" t="s">
        <v>83</v>
      </c>
      <c r="D40" s="2">
        <v>45896</v>
      </c>
      <c r="E40">
        <f>IF(RIGHT(LeaversJoiners[[#This Row],[Code]],1)=")",1,0)</f>
        <v>0</v>
      </c>
      <c r="F40" t="str">
        <f>IF(LeaversJoiners[[#This Row],[Sütun1]]=1,LEFT(LeaversJoiners[[#This Row],[Code]],FIND("^",LeaversJoiners[[#This Row],[Code]])-1),LeaversJoiners[[#This Row],[Code]])</f>
        <v xml:space="preserve">KLNMA.IS </v>
      </c>
    </row>
    <row r="41" spans="1:6" x14ac:dyDescent="0.25">
      <c r="A41" t="s">
        <v>29</v>
      </c>
      <c r="B41" t="s">
        <v>84</v>
      </c>
      <c r="C41" t="s">
        <v>85</v>
      </c>
      <c r="D41" s="2">
        <v>45896</v>
      </c>
      <c r="E41">
        <f>IF(RIGHT(LeaversJoiners[[#This Row],[Code]],1)=")",1,0)</f>
        <v>0</v>
      </c>
      <c r="F41" t="str">
        <f>IF(LeaversJoiners[[#This Row],[Sütun1]]=1,LEFT(LeaversJoiners[[#This Row],[Code]],FIND("^",LeaversJoiners[[#This Row],[Code]])-1),LeaversJoiners[[#This Row],[Code]])</f>
        <v xml:space="preserve">YBTAS.IS </v>
      </c>
    </row>
    <row r="42" spans="1:6" x14ac:dyDescent="0.25">
      <c r="A42" t="s">
        <v>29</v>
      </c>
      <c r="B42" t="s">
        <v>86</v>
      </c>
      <c r="C42" t="s">
        <v>87</v>
      </c>
      <c r="D42" s="2">
        <v>45896</v>
      </c>
      <c r="E42">
        <f>IF(RIGHT(LeaversJoiners[[#This Row],[Code]],1)=")",1,0)</f>
        <v>0</v>
      </c>
      <c r="F42" t="str">
        <f>IF(LeaversJoiners[[#This Row],[Sütun1]]=1,LEFT(LeaversJoiners[[#This Row],[Code]],FIND("^",LeaversJoiners[[#This Row],[Code]])-1),LeaversJoiners[[#This Row],[Code]])</f>
        <v xml:space="preserve">YONGA.IS </v>
      </c>
    </row>
    <row r="43" spans="1:6" x14ac:dyDescent="0.25">
      <c r="A43" t="s">
        <v>29</v>
      </c>
      <c r="B43" t="s">
        <v>88</v>
      </c>
      <c r="C43" t="s">
        <v>89</v>
      </c>
      <c r="D43" s="2">
        <v>45737</v>
      </c>
      <c r="E43">
        <f>IF(RIGHT(LeaversJoiners[[#This Row],[Code]],1)=")",1,0)</f>
        <v>0</v>
      </c>
      <c r="F43" t="str">
        <f>IF(LeaversJoiners[[#This Row],[Sütun1]]=1,LEFT(LeaversJoiners[[#This Row],[Code]],FIND("^",LeaversJoiners[[#This Row],[Code]])-1),LeaversJoiners[[#This Row],[Code]])</f>
        <v xml:space="preserve">ATEKS.IS </v>
      </c>
    </row>
    <row r="44" spans="1:6" x14ac:dyDescent="0.25">
      <c r="A44" t="s">
        <v>4</v>
      </c>
      <c r="B44" t="s">
        <v>90</v>
      </c>
      <c r="C44" t="s">
        <v>91</v>
      </c>
      <c r="D44" s="2">
        <v>45709</v>
      </c>
      <c r="E44">
        <f>IF(RIGHT(LeaversJoiners[[#This Row],[Code]],1)=")",1,0)</f>
        <v>0</v>
      </c>
      <c r="F44" t="str">
        <f>IF(LeaversJoiners[[#This Row],[Sütun1]]=1,LEFT(LeaversJoiners[[#This Row],[Code]],FIND("^",LeaversJoiners[[#This Row],[Code]])-1),LeaversJoiners[[#This Row],[Code]])</f>
        <v xml:space="preserve">BALSU.IS </v>
      </c>
    </row>
    <row r="45" spans="1:6" x14ac:dyDescent="0.25">
      <c r="A45" t="s">
        <v>4</v>
      </c>
      <c r="B45" t="s">
        <v>92</v>
      </c>
      <c r="C45" t="s">
        <v>93</v>
      </c>
      <c r="D45" s="2">
        <v>45709</v>
      </c>
      <c r="E45">
        <f>IF(RIGHT(LeaversJoiners[[#This Row],[Code]],1)=")",1,0)</f>
        <v>0</v>
      </c>
      <c r="F45" t="str">
        <f>IF(LeaversJoiners[[#This Row],[Sütun1]]=1,LEFT(LeaversJoiners[[#This Row],[Code]],FIND("^",LeaversJoiners[[#This Row],[Code]])-1),LeaversJoiners[[#This Row],[Code]])</f>
        <v xml:space="preserve">BULGS.IS </v>
      </c>
    </row>
    <row r="46" spans="1:6" x14ac:dyDescent="0.25">
      <c r="A46" t="s">
        <v>4</v>
      </c>
      <c r="B46" t="s">
        <v>94</v>
      </c>
      <c r="C46" t="s">
        <v>95</v>
      </c>
      <c r="D46" s="2">
        <v>45701</v>
      </c>
      <c r="E46">
        <f>IF(RIGHT(LeaversJoiners[[#This Row],[Code]],1)=")",1,0)</f>
        <v>0</v>
      </c>
      <c r="F46" t="str">
        <f>IF(LeaversJoiners[[#This Row],[Sütun1]]=1,LEFT(LeaversJoiners[[#This Row],[Code]],FIND("^",LeaversJoiners[[#This Row],[Code]])-1),LeaversJoiners[[#This Row],[Code]])</f>
        <v xml:space="preserve">ENDAE.IS </v>
      </c>
    </row>
    <row r="47" spans="1:6" x14ac:dyDescent="0.25">
      <c r="A47" t="s">
        <v>4</v>
      </c>
      <c r="B47" t="s">
        <v>96</v>
      </c>
      <c r="C47" t="s">
        <v>97</v>
      </c>
      <c r="D47" s="2">
        <v>45701</v>
      </c>
      <c r="E47">
        <f>IF(RIGHT(LeaversJoiners[[#This Row],[Code]],1)=")",1,0)</f>
        <v>0</v>
      </c>
      <c r="F47" t="str">
        <f>IF(LeaversJoiners[[#This Row],[Sütun1]]=1,LEFT(LeaversJoiners[[#This Row],[Code]],FIND("^",LeaversJoiners[[#This Row],[Code]])-1),LeaversJoiners[[#This Row],[Code]])</f>
        <v xml:space="preserve">KLYPV.IS </v>
      </c>
    </row>
    <row r="48" spans="1:6" x14ac:dyDescent="0.25">
      <c r="A48" t="s">
        <v>4</v>
      </c>
      <c r="B48" t="s">
        <v>98</v>
      </c>
      <c r="C48" t="s">
        <v>99</v>
      </c>
      <c r="D48" s="2">
        <v>45701</v>
      </c>
      <c r="E48">
        <f>IF(RIGHT(LeaversJoiners[[#This Row],[Code]],1)=")",1,0)</f>
        <v>0</v>
      </c>
      <c r="F48" t="str">
        <f>IF(LeaversJoiners[[#This Row],[Sütun1]]=1,LEFT(LeaversJoiners[[#This Row],[Code]],FIND("^",LeaversJoiners[[#This Row],[Code]])-1),LeaversJoiners[[#This Row],[Code]])</f>
        <v xml:space="preserve">VSNMD.IS </v>
      </c>
    </row>
    <row r="49" spans="1:6" x14ac:dyDescent="0.25">
      <c r="A49" t="s">
        <v>29</v>
      </c>
      <c r="B49" t="s">
        <v>100</v>
      </c>
      <c r="C49" t="s">
        <v>101</v>
      </c>
      <c r="D49" s="2">
        <v>45701</v>
      </c>
      <c r="E49">
        <f>IF(RIGHT(LeaversJoiners[[#This Row],[Code]],1)=")",1,0)</f>
        <v>1</v>
      </c>
      <c r="F49" t="str">
        <f>IF(LeaversJoiners[[#This Row],[Sütun1]]=1,LEFT(LeaversJoiners[[#This Row],[Code]],FIND("^",LeaversJoiners[[#This Row],[Code]])-1),LeaversJoiners[[#This Row],[Code]])</f>
        <v>YGYO.IS</v>
      </c>
    </row>
    <row r="50" spans="1:6" x14ac:dyDescent="0.25">
      <c r="A50" t="s">
        <v>4</v>
      </c>
      <c r="B50" t="s">
        <v>102</v>
      </c>
      <c r="C50" t="s">
        <v>103</v>
      </c>
      <c r="D50" s="2">
        <v>45694</v>
      </c>
      <c r="E50">
        <f>IF(RIGHT(LeaversJoiners[[#This Row],[Code]],1)=")",1,0)</f>
        <v>0</v>
      </c>
      <c r="F50" t="str">
        <f>IF(LeaversJoiners[[#This Row],[Sütun1]]=1,LEFT(LeaversJoiners[[#This Row],[Code]],FIND("^",LeaversJoiners[[#This Row],[Code]])-1),LeaversJoiners[[#This Row],[Code]])</f>
        <v xml:space="preserve">DSTKF.IS </v>
      </c>
    </row>
    <row r="51" spans="1:6" x14ac:dyDescent="0.25">
      <c r="A51" t="s">
        <v>4</v>
      </c>
      <c r="B51" t="s">
        <v>104</v>
      </c>
      <c r="C51" t="s">
        <v>105</v>
      </c>
      <c r="D51" s="2">
        <v>45693</v>
      </c>
      <c r="E51">
        <f>IF(RIGHT(LeaversJoiners[[#This Row],[Code]],1)=")",1,0)</f>
        <v>0</v>
      </c>
      <c r="F51" t="str">
        <f>IF(LeaversJoiners[[#This Row],[Sütun1]]=1,LEFT(LeaversJoiners[[#This Row],[Code]],FIND("^",LeaversJoiners[[#This Row],[Code]])-1),LeaversJoiners[[#This Row],[Code]])</f>
        <v xml:space="preserve">BIGEN.IS </v>
      </c>
    </row>
    <row r="52" spans="1:6" x14ac:dyDescent="0.25">
      <c r="A52" t="s">
        <v>4</v>
      </c>
      <c r="B52" t="s">
        <v>106</v>
      </c>
      <c r="C52" t="s">
        <v>107</v>
      </c>
      <c r="D52" s="2">
        <v>45692</v>
      </c>
      <c r="E52">
        <f>IF(RIGHT(LeaversJoiners[[#This Row],[Code]],1)=")",1,0)</f>
        <v>0</v>
      </c>
      <c r="F52" t="str">
        <f>IF(LeaversJoiners[[#This Row],[Sütun1]]=1,LEFT(LeaversJoiners[[#This Row],[Code]],FIND("^",LeaversJoiners[[#This Row],[Code]])-1),LeaversJoiners[[#This Row],[Code]])</f>
        <v xml:space="preserve">SERNT.IS </v>
      </c>
    </row>
    <row r="53" spans="1:6" x14ac:dyDescent="0.25">
      <c r="A53" t="s">
        <v>4</v>
      </c>
      <c r="B53" t="s">
        <v>108</v>
      </c>
      <c r="C53" t="s">
        <v>109</v>
      </c>
      <c r="D53" s="2">
        <v>45686</v>
      </c>
      <c r="E53">
        <f>IF(RIGHT(LeaversJoiners[[#This Row],[Code]],1)=")",1,0)</f>
        <v>0</v>
      </c>
      <c r="F53" t="str">
        <f>IF(LeaversJoiners[[#This Row],[Sütun1]]=1,LEFT(LeaversJoiners[[#This Row],[Code]],FIND("^",LeaversJoiners[[#This Row],[Code]])-1),LeaversJoiners[[#This Row],[Code]])</f>
        <v xml:space="preserve">MOPAS.IS </v>
      </c>
    </row>
    <row r="54" spans="1:6" x14ac:dyDescent="0.25">
      <c r="A54" t="s">
        <v>4</v>
      </c>
      <c r="B54" t="s">
        <v>110</v>
      </c>
      <c r="C54" t="s">
        <v>111</v>
      </c>
      <c r="D54" s="2">
        <v>45680</v>
      </c>
      <c r="E54">
        <f>IF(RIGHT(LeaversJoiners[[#This Row],[Code]],1)=")",1,0)</f>
        <v>0</v>
      </c>
      <c r="F54" t="str">
        <f>IF(LeaversJoiners[[#This Row],[Sütun1]]=1,LEFT(LeaversJoiners[[#This Row],[Code]],FIND("^",LeaversJoiners[[#This Row],[Code]])-1),LeaversJoiners[[#This Row],[Code]])</f>
        <v xml:space="preserve">AKFIS.IS </v>
      </c>
    </row>
    <row r="55" spans="1:6" x14ac:dyDescent="0.25">
      <c r="A55" t="s">
        <v>4</v>
      </c>
      <c r="B55" t="s">
        <v>112</v>
      </c>
      <c r="C55" t="s">
        <v>113</v>
      </c>
      <c r="D55" s="2">
        <v>45674</v>
      </c>
      <c r="E55">
        <f>IF(RIGHT(LeaversJoiners[[#This Row],[Code]],1)=")",1,0)</f>
        <v>0</v>
      </c>
      <c r="F55" t="str">
        <f>IF(LeaversJoiners[[#This Row],[Sütun1]]=1,LEFT(LeaversJoiners[[#This Row],[Code]],FIND("^",LeaversJoiners[[#This Row],[Code]])-1),LeaversJoiners[[#This Row],[Code]])</f>
        <v xml:space="preserve">GLRMK.IS </v>
      </c>
    </row>
    <row r="56" spans="1:6" x14ac:dyDescent="0.25">
      <c r="A56" t="s">
        <v>4</v>
      </c>
      <c r="B56" t="s">
        <v>114</v>
      </c>
      <c r="C56" t="s">
        <v>115</v>
      </c>
      <c r="D56" s="2">
        <v>45671</v>
      </c>
      <c r="E56">
        <f>IF(RIGHT(LeaversJoiners[[#This Row],[Code]],1)=")",1,0)</f>
        <v>0</v>
      </c>
      <c r="F56" t="str">
        <f>IF(LeaversJoiners[[#This Row],[Sütun1]]=1,LEFT(LeaversJoiners[[#This Row],[Code]],FIND("^",LeaversJoiners[[#This Row],[Code]])-1),LeaversJoiners[[#This Row],[Code]])</f>
        <v xml:space="preserve">EGEGY.IS </v>
      </c>
    </row>
    <row r="57" spans="1:6" x14ac:dyDescent="0.25">
      <c r="A57" t="s">
        <v>4</v>
      </c>
      <c r="B57" t="s">
        <v>116</v>
      </c>
      <c r="C57" t="s">
        <v>117</v>
      </c>
      <c r="D57" s="2">
        <v>45663</v>
      </c>
      <c r="E57">
        <f>IF(RIGHT(LeaversJoiners[[#This Row],[Code]],1)=")",1,0)</f>
        <v>0</v>
      </c>
      <c r="F57" t="str">
        <f>IF(LeaversJoiners[[#This Row],[Sütun1]]=1,LEFT(LeaversJoiners[[#This Row],[Code]],FIND("^",LeaversJoiners[[#This Row],[Code]])-1),LeaversJoiners[[#This Row],[Code]])</f>
        <v xml:space="preserve">ARMGD.IS </v>
      </c>
    </row>
    <row r="58" spans="1:6" x14ac:dyDescent="0.25">
      <c r="A58" t="s">
        <v>4</v>
      </c>
      <c r="B58" t="s">
        <v>118</v>
      </c>
      <c r="C58" t="s">
        <v>119</v>
      </c>
      <c r="D58" s="2">
        <v>45644</v>
      </c>
      <c r="E58">
        <f>IF(RIGHT(LeaversJoiners[[#This Row],[Code]],1)=")",1,0)</f>
        <v>0</v>
      </c>
      <c r="F58" t="str">
        <f>IF(LeaversJoiners[[#This Row],[Sütun1]]=1,LEFT(LeaversJoiners[[#This Row],[Code]],FIND("^",LeaversJoiners[[#This Row],[Code]])-1),LeaversJoiners[[#This Row],[Code]])</f>
        <v xml:space="preserve">SMRVA.IS </v>
      </c>
    </row>
    <row r="59" spans="1:6" x14ac:dyDescent="0.25">
      <c r="A59" t="s">
        <v>4</v>
      </c>
      <c r="B59" t="s">
        <v>120</v>
      </c>
      <c r="C59" t="s">
        <v>121</v>
      </c>
      <c r="D59" s="2">
        <v>45643</v>
      </c>
      <c r="E59">
        <f>IF(RIGHT(LeaversJoiners[[#This Row],[Code]],1)=")",1,0)</f>
        <v>0</v>
      </c>
      <c r="F59" t="str">
        <f>IF(LeaversJoiners[[#This Row],[Sütun1]]=1,LEFT(LeaversJoiners[[#This Row],[Code]],FIND("^",LeaversJoiners[[#This Row],[Code]])-1),LeaversJoiners[[#This Row],[Code]])</f>
        <v xml:space="preserve">CGCAM.IS </v>
      </c>
    </row>
    <row r="60" spans="1:6" x14ac:dyDescent="0.25">
      <c r="A60" t="s">
        <v>4</v>
      </c>
      <c r="B60" t="s">
        <v>122</v>
      </c>
      <c r="C60" t="s">
        <v>123</v>
      </c>
      <c r="D60" s="2">
        <v>45628</v>
      </c>
      <c r="E60">
        <f>IF(RIGHT(LeaversJoiners[[#This Row],[Code]],1)=")",1,0)</f>
        <v>0</v>
      </c>
      <c r="F60" t="str">
        <f>IF(LeaversJoiners[[#This Row],[Sütun1]]=1,LEFT(LeaversJoiners[[#This Row],[Code]],FIND("^",LeaversJoiners[[#This Row],[Code]])-1),LeaversJoiners[[#This Row],[Code]])</f>
        <v xml:space="preserve">OTTO.IS </v>
      </c>
    </row>
    <row r="61" spans="1:6" x14ac:dyDescent="0.25">
      <c r="A61" t="s">
        <v>29</v>
      </c>
      <c r="B61" t="s">
        <v>124</v>
      </c>
      <c r="C61" t="s">
        <v>125</v>
      </c>
      <c r="D61" s="2">
        <v>45580</v>
      </c>
      <c r="E61">
        <f>IF(RIGHT(LeaversJoiners[[#This Row],[Code]],1)=")",1,0)</f>
        <v>0</v>
      </c>
      <c r="F61" t="str">
        <f>IF(LeaversJoiners[[#This Row],[Sütun1]]=1,LEFT(LeaversJoiners[[#This Row],[Code]],FIND("^",LeaversJoiners[[#This Row],[Code]])-1),LeaversJoiners[[#This Row],[Code]])</f>
        <v xml:space="preserve">EUHOL.IS </v>
      </c>
    </row>
    <row r="62" spans="1:6" x14ac:dyDescent="0.25">
      <c r="A62" t="s">
        <v>4</v>
      </c>
      <c r="B62" t="s">
        <v>126</v>
      </c>
      <c r="C62" t="s">
        <v>127</v>
      </c>
      <c r="D62" s="2">
        <v>45574</v>
      </c>
      <c r="E62">
        <f>IF(RIGHT(LeaversJoiners[[#This Row],[Code]],1)=")",1,0)</f>
        <v>0</v>
      </c>
      <c r="F62" t="str">
        <f>IF(LeaversJoiners[[#This Row],[Sütun1]]=1,LEFT(LeaversJoiners[[#This Row],[Code]],FIND("^",LeaversJoiners[[#This Row],[Code]])-1),LeaversJoiners[[#This Row],[Code]])</f>
        <v xml:space="preserve">BINBN.IS </v>
      </c>
    </row>
    <row r="63" spans="1:6" x14ac:dyDescent="0.25">
      <c r="A63" t="s">
        <v>29</v>
      </c>
      <c r="B63" t="s">
        <v>128</v>
      </c>
      <c r="C63" t="s">
        <v>129</v>
      </c>
      <c r="D63" s="2">
        <v>45573</v>
      </c>
      <c r="E63">
        <f>IF(RIGHT(LeaversJoiners[[#This Row],[Code]],1)=")",1,0)</f>
        <v>0</v>
      </c>
      <c r="F63" t="str">
        <f>IF(LeaversJoiners[[#This Row],[Sütun1]]=1,LEFT(LeaversJoiners[[#This Row],[Code]],FIND("^",LeaversJoiners[[#This Row],[Code]])-1),LeaversJoiners[[#This Row],[Code]])</f>
        <v xml:space="preserve">UMPAS.IS </v>
      </c>
    </row>
    <row r="64" spans="1:6" x14ac:dyDescent="0.25">
      <c r="A64" t="s">
        <v>4</v>
      </c>
      <c r="B64" t="s">
        <v>130</v>
      </c>
      <c r="C64" t="s">
        <v>131</v>
      </c>
      <c r="D64" s="2">
        <v>45552</v>
      </c>
      <c r="E64">
        <f>IF(RIGHT(LeaversJoiners[[#This Row],[Code]],1)=")",1,0)</f>
        <v>0</v>
      </c>
      <c r="F64" t="str">
        <f>IF(LeaversJoiners[[#This Row],[Sütun1]]=1,LEFT(LeaversJoiners[[#This Row],[Code]],FIND("^",LeaversJoiners[[#This Row],[Code]])-1),LeaversJoiners[[#This Row],[Code]])</f>
        <v xml:space="preserve">DURKN.IS </v>
      </c>
    </row>
    <row r="65" spans="1:6" x14ac:dyDescent="0.25">
      <c r="A65" t="s">
        <v>4</v>
      </c>
      <c r="B65" t="s">
        <v>132</v>
      </c>
      <c r="C65" t="s">
        <v>133</v>
      </c>
      <c r="D65" s="2">
        <v>45544</v>
      </c>
      <c r="E65">
        <f>IF(RIGHT(LeaversJoiners[[#This Row],[Code]],1)=")",1,0)</f>
        <v>0</v>
      </c>
      <c r="F65" t="str">
        <f>IF(LeaversJoiners[[#This Row],[Sütun1]]=1,LEFT(LeaversJoiners[[#This Row],[Code]],FIND("^",LeaversJoiners[[#This Row],[Code]])-1),LeaversJoiners[[#This Row],[Code]])</f>
        <v xml:space="preserve">CEMZY.IS </v>
      </c>
    </row>
    <row r="66" spans="1:6" x14ac:dyDescent="0.25">
      <c r="A66" t="s">
        <v>4</v>
      </c>
      <c r="B66" t="s">
        <v>134</v>
      </c>
      <c r="C66" t="s">
        <v>135</v>
      </c>
      <c r="D66" s="2">
        <v>45540</v>
      </c>
      <c r="E66">
        <f>IF(RIGHT(LeaversJoiners[[#This Row],[Code]],1)=")",1,0)</f>
        <v>0</v>
      </c>
      <c r="F66" t="str">
        <f>IF(LeaversJoiners[[#This Row],[Sütun1]]=1,LEFT(LeaversJoiners[[#This Row],[Code]],FIND("^",LeaversJoiners[[#This Row],[Code]])-1),LeaversJoiners[[#This Row],[Code]])</f>
        <v xml:space="preserve">OZATD.IS </v>
      </c>
    </row>
    <row r="67" spans="1:6" x14ac:dyDescent="0.25">
      <c r="A67" t="s">
        <v>4</v>
      </c>
      <c r="B67" t="s">
        <v>136</v>
      </c>
      <c r="C67" t="s">
        <v>137</v>
      </c>
      <c r="D67" s="2">
        <v>45535</v>
      </c>
      <c r="E67">
        <f>IF(RIGHT(LeaversJoiners[[#This Row],[Code]],1)=")",1,0)</f>
        <v>0</v>
      </c>
      <c r="F67" t="str">
        <f>IF(LeaversJoiners[[#This Row],[Sütun1]]=1,LEFT(LeaversJoiners[[#This Row],[Code]],FIND("^",LeaversJoiners[[#This Row],[Code]])-1),LeaversJoiners[[#This Row],[Code]])</f>
        <v xml:space="preserve">DCTTR.IS </v>
      </c>
    </row>
    <row r="68" spans="1:6" x14ac:dyDescent="0.25">
      <c r="A68" t="s">
        <v>4</v>
      </c>
      <c r="B68" t="s">
        <v>138</v>
      </c>
      <c r="C68" t="s">
        <v>139</v>
      </c>
      <c r="D68" s="2">
        <v>45533</v>
      </c>
      <c r="E68">
        <f>IF(RIGHT(LeaversJoiners[[#This Row],[Code]],1)=")",1,0)</f>
        <v>0</v>
      </c>
      <c r="F68" t="str">
        <f>IF(LeaversJoiners[[#This Row],[Sütun1]]=1,LEFT(LeaversJoiners[[#This Row],[Code]],FIND("^",LeaversJoiners[[#This Row],[Code]])-1),LeaversJoiners[[#This Row],[Code]])</f>
        <v xml:space="preserve">AHSGY.IS </v>
      </c>
    </row>
    <row r="69" spans="1:6" x14ac:dyDescent="0.25">
      <c r="A69" t="s">
        <v>4</v>
      </c>
      <c r="B69" t="s">
        <v>140</v>
      </c>
      <c r="C69" t="s">
        <v>141</v>
      </c>
      <c r="D69" s="2">
        <v>45526</v>
      </c>
      <c r="E69">
        <f>IF(RIGHT(LeaversJoiners[[#This Row],[Code]],1)=")",1,0)</f>
        <v>0</v>
      </c>
      <c r="F69" t="str">
        <f>IF(LeaversJoiners[[#This Row],[Sütun1]]=1,LEFT(LeaversJoiners[[#This Row],[Code]],FIND("^",LeaversJoiners[[#This Row],[Code]])-1),LeaversJoiners[[#This Row],[Code]])</f>
        <v xml:space="preserve">GUNDG.IS </v>
      </c>
    </row>
    <row r="70" spans="1:6" x14ac:dyDescent="0.25">
      <c r="A70" t="s">
        <v>29</v>
      </c>
      <c r="B70" t="s">
        <v>142</v>
      </c>
      <c r="C70" t="s">
        <v>143</v>
      </c>
      <c r="D70" s="2">
        <v>45526</v>
      </c>
      <c r="E70">
        <f>IF(RIGHT(LeaversJoiners[[#This Row],[Code]],1)=")",1,0)</f>
        <v>0</v>
      </c>
      <c r="F70" t="str">
        <f>IF(LeaversJoiners[[#This Row],[Sütun1]]=1,LEFT(LeaversJoiners[[#This Row],[Code]],FIND("^",LeaversJoiners[[#This Row],[Code]])-1),LeaversJoiners[[#This Row],[Code]])</f>
        <v xml:space="preserve">MEGAP.IS </v>
      </c>
    </row>
    <row r="71" spans="1:6" x14ac:dyDescent="0.25">
      <c r="A71" t="s">
        <v>4</v>
      </c>
      <c r="B71" t="s">
        <v>144</v>
      </c>
      <c r="C71" t="s">
        <v>145</v>
      </c>
      <c r="D71" s="2">
        <v>45525</v>
      </c>
      <c r="E71">
        <f>IF(RIGHT(LeaversJoiners[[#This Row],[Code]],1)=")",1,0)</f>
        <v>0</v>
      </c>
      <c r="F71" t="str">
        <f>IF(LeaversJoiners[[#This Row],[Sütun1]]=1,LEFT(LeaversJoiners[[#This Row],[Code]],FIND("^",LeaversJoiners[[#This Row],[Code]])-1),LeaversJoiners[[#This Row],[Code]])</f>
        <v xml:space="preserve">TCKRC.IS </v>
      </c>
    </row>
    <row r="72" spans="1:6" x14ac:dyDescent="0.25">
      <c r="A72" t="s">
        <v>4</v>
      </c>
      <c r="B72" t="s">
        <v>146</v>
      </c>
      <c r="C72" t="s">
        <v>147</v>
      </c>
      <c r="D72" s="2">
        <v>45517</v>
      </c>
      <c r="E72">
        <f>IF(RIGHT(LeaversJoiners[[#This Row],[Code]],1)=")",1,0)</f>
        <v>0</v>
      </c>
      <c r="F72" t="str">
        <f>IF(LeaversJoiners[[#This Row],[Sütun1]]=1,LEFT(LeaversJoiners[[#This Row],[Code]],FIND("^",LeaversJoiners[[#This Row],[Code]])-1),LeaversJoiners[[#This Row],[Code]])</f>
        <v xml:space="preserve">BAHKM.IS </v>
      </c>
    </row>
    <row r="73" spans="1:6" x14ac:dyDescent="0.25">
      <c r="A73" t="s">
        <v>4</v>
      </c>
      <c r="B73" t="s">
        <v>148</v>
      </c>
      <c r="C73" t="s">
        <v>149</v>
      </c>
      <c r="D73" s="2">
        <v>45478</v>
      </c>
      <c r="E73">
        <f>IF(RIGHT(LeaversJoiners[[#This Row],[Code]],1)=")",1,0)</f>
        <v>0</v>
      </c>
      <c r="F73" t="str">
        <f>IF(LeaversJoiners[[#This Row],[Sütun1]]=1,LEFT(LeaversJoiners[[#This Row],[Code]],FIND("^",LeaversJoiners[[#This Row],[Code]])-1),LeaversJoiners[[#This Row],[Code]])</f>
        <v xml:space="preserve">EFOR.IS </v>
      </c>
    </row>
    <row r="74" spans="1:6" x14ac:dyDescent="0.25">
      <c r="A74" t="s">
        <v>4</v>
      </c>
      <c r="B74" t="s">
        <v>150</v>
      </c>
      <c r="C74" t="s">
        <v>151</v>
      </c>
      <c r="D74" s="2">
        <v>45477</v>
      </c>
      <c r="E74">
        <f>IF(RIGHT(LeaversJoiners[[#This Row],[Code]],1)=")",1,0)</f>
        <v>0</v>
      </c>
      <c r="F74" t="str">
        <f>IF(LeaversJoiners[[#This Row],[Sütun1]]=1,LEFT(LeaversJoiners[[#This Row],[Code]],FIND("^",LeaversJoiners[[#This Row],[Code]])-1),LeaversJoiners[[#This Row],[Code]])</f>
        <v xml:space="preserve">SEGMN.IS </v>
      </c>
    </row>
    <row r="75" spans="1:6" x14ac:dyDescent="0.25">
      <c r="A75" t="s">
        <v>4</v>
      </c>
      <c r="B75" t="s">
        <v>152</v>
      </c>
      <c r="C75" t="s">
        <v>153</v>
      </c>
      <c r="D75" s="2">
        <v>45450</v>
      </c>
      <c r="E75">
        <f>IF(RIGHT(LeaversJoiners[[#This Row],[Code]],1)=")",1,0)</f>
        <v>0</v>
      </c>
      <c r="F75" t="str">
        <f>IF(LeaversJoiners[[#This Row],[Sütun1]]=1,LEFT(LeaversJoiners[[#This Row],[Code]],FIND("^",LeaversJoiners[[#This Row],[Code]])-1),LeaversJoiners[[#This Row],[Code]])</f>
        <v xml:space="preserve">HOROZ.IS </v>
      </c>
    </row>
    <row r="76" spans="1:6" x14ac:dyDescent="0.25">
      <c r="A76" t="s">
        <v>4</v>
      </c>
      <c r="B76" t="s">
        <v>154</v>
      </c>
      <c r="C76" t="s">
        <v>155</v>
      </c>
      <c r="D76" s="2">
        <v>45449</v>
      </c>
      <c r="E76">
        <f>IF(RIGHT(LeaversJoiners[[#This Row],[Code]],1)=")",1,0)</f>
        <v>0</v>
      </c>
      <c r="F76" t="str">
        <f>IF(LeaversJoiners[[#This Row],[Sütun1]]=1,LEFT(LeaversJoiners[[#This Row],[Code]],FIND("^",LeaversJoiners[[#This Row],[Code]])-1),LeaversJoiners[[#This Row],[Code]])</f>
        <v xml:space="preserve">YIGIT.IS </v>
      </c>
    </row>
    <row r="77" spans="1:6" x14ac:dyDescent="0.25">
      <c r="A77" t="s">
        <v>4</v>
      </c>
      <c r="B77" t="s">
        <v>156</v>
      </c>
      <c r="C77" t="s">
        <v>157</v>
      </c>
      <c r="D77" s="2">
        <v>45447</v>
      </c>
      <c r="E77">
        <f>IF(RIGHT(LeaversJoiners[[#This Row],[Code]],1)=")",1,0)</f>
        <v>0</v>
      </c>
      <c r="F77" t="str">
        <f>IF(LeaversJoiners[[#This Row],[Sütun1]]=1,LEFT(LeaversJoiners[[#This Row],[Code]],FIND("^",LeaversJoiners[[#This Row],[Code]])-1),LeaversJoiners[[#This Row],[Code]])</f>
        <v xml:space="preserve">ALKLC.IS </v>
      </c>
    </row>
    <row r="78" spans="1:6" x14ac:dyDescent="0.25">
      <c r="A78" t="s">
        <v>4</v>
      </c>
      <c r="B78" t="s">
        <v>158</v>
      </c>
      <c r="C78" t="s">
        <v>159</v>
      </c>
      <c r="D78" s="2">
        <v>45441</v>
      </c>
      <c r="E78">
        <f>IF(RIGHT(LeaversJoiners[[#This Row],[Code]],1)=")",1,0)</f>
        <v>0</v>
      </c>
      <c r="F78" t="str">
        <f>IF(LeaversJoiners[[#This Row],[Sütun1]]=1,LEFT(LeaversJoiners[[#This Row],[Code]],FIND("^",LeaversJoiners[[#This Row],[Code]])-1),LeaversJoiners[[#This Row],[Code]])</f>
        <v xml:space="preserve">OZYSR.IS </v>
      </c>
    </row>
    <row r="79" spans="1:6" x14ac:dyDescent="0.25">
      <c r="A79" t="s">
        <v>4</v>
      </c>
      <c r="B79" t="s">
        <v>160</v>
      </c>
      <c r="C79" t="s">
        <v>161</v>
      </c>
      <c r="D79" s="2">
        <v>45440</v>
      </c>
      <c r="E79">
        <f>IF(RIGHT(LeaversJoiners[[#This Row],[Code]],1)=")",1,0)</f>
        <v>0</v>
      </c>
      <c r="F79" t="str">
        <f>IF(LeaversJoiners[[#This Row],[Sütun1]]=1,LEFT(LeaversJoiners[[#This Row],[Code]],FIND("^",LeaversJoiners[[#This Row],[Code]])-1),LeaversJoiners[[#This Row],[Code]])</f>
        <v xml:space="preserve">ONRYT.IS </v>
      </c>
    </row>
    <row r="80" spans="1:6" x14ac:dyDescent="0.25">
      <c r="A80" t="s">
        <v>4</v>
      </c>
      <c r="B80" t="s">
        <v>162</v>
      </c>
      <c r="C80" t="s">
        <v>163</v>
      </c>
      <c r="D80" s="2">
        <v>45435</v>
      </c>
      <c r="E80">
        <f>IF(RIGHT(LeaversJoiners[[#This Row],[Code]],1)=")",1,0)</f>
        <v>0</v>
      </c>
      <c r="F80" t="str">
        <f>IF(LeaversJoiners[[#This Row],[Sütun1]]=1,LEFT(LeaversJoiners[[#This Row],[Code]],FIND("^",LeaversJoiners[[#This Row],[Code]])-1),LeaversJoiners[[#This Row],[Code]])</f>
        <v xml:space="preserve">HRKET.IS </v>
      </c>
    </row>
    <row r="81" spans="1:6" x14ac:dyDescent="0.25">
      <c r="A81" t="s">
        <v>4</v>
      </c>
      <c r="B81" t="s">
        <v>164</v>
      </c>
      <c r="C81" t="s">
        <v>165</v>
      </c>
      <c r="D81" s="2">
        <v>45429</v>
      </c>
      <c r="E81">
        <f>IF(RIGHT(LeaversJoiners[[#This Row],[Code]],1)=")",1,0)</f>
        <v>0</v>
      </c>
      <c r="F81" t="str">
        <f>IF(LeaversJoiners[[#This Row],[Sütun1]]=1,LEFT(LeaversJoiners[[#This Row],[Code]],FIND("^",LeaversJoiners[[#This Row],[Code]])-1),LeaversJoiners[[#This Row],[Code]])</f>
        <v xml:space="preserve">KOCMT.IS </v>
      </c>
    </row>
    <row r="82" spans="1:6" x14ac:dyDescent="0.25">
      <c r="A82" t="s">
        <v>4</v>
      </c>
      <c r="B82" t="s">
        <v>166</v>
      </c>
      <c r="C82" t="s">
        <v>167</v>
      </c>
      <c r="D82" s="2">
        <v>45428</v>
      </c>
      <c r="E82">
        <f>IF(RIGHT(LeaversJoiners[[#This Row],[Code]],1)=")",1,0)</f>
        <v>0</v>
      </c>
      <c r="F82" t="str">
        <f>IF(LeaversJoiners[[#This Row],[Sütun1]]=1,LEFT(LeaversJoiners[[#This Row],[Code]],FIND("^",LeaversJoiners[[#This Row],[Code]])-1),LeaversJoiners[[#This Row],[Code]])</f>
        <v xml:space="preserve">ALTNY.IS </v>
      </c>
    </row>
    <row r="83" spans="1:6" x14ac:dyDescent="0.25">
      <c r="A83" t="s">
        <v>4</v>
      </c>
      <c r="B83" t="s">
        <v>168</v>
      </c>
      <c r="C83" t="s">
        <v>169</v>
      </c>
      <c r="D83" s="2">
        <v>45422</v>
      </c>
      <c r="E83">
        <f>IF(RIGHT(LeaversJoiners[[#This Row],[Code]],1)=")",1,0)</f>
        <v>0</v>
      </c>
      <c r="F83" t="str">
        <f>IF(LeaversJoiners[[#This Row],[Sütun1]]=1,LEFT(LeaversJoiners[[#This Row],[Code]],FIND("^",LeaversJoiners[[#This Row],[Code]])-1),LeaversJoiners[[#This Row],[Code]])</f>
        <v xml:space="preserve">KOTON.IS </v>
      </c>
    </row>
    <row r="84" spans="1:6" x14ac:dyDescent="0.25">
      <c r="A84" t="s">
        <v>4</v>
      </c>
      <c r="B84" t="s">
        <v>170</v>
      </c>
      <c r="C84" t="s">
        <v>171</v>
      </c>
      <c r="D84" s="2">
        <v>45421</v>
      </c>
      <c r="E84">
        <f>IF(RIGHT(LeaversJoiners[[#This Row],[Code]],1)=")",1,0)</f>
        <v>0</v>
      </c>
      <c r="F84" t="str">
        <f>IF(LeaversJoiners[[#This Row],[Sütun1]]=1,LEFT(LeaversJoiners[[#This Row],[Code]],FIND("^",LeaversJoiners[[#This Row],[Code]])-1),LeaversJoiners[[#This Row],[Code]])</f>
        <v xml:space="preserve">LILAK.IS </v>
      </c>
    </row>
    <row r="85" spans="1:6" x14ac:dyDescent="0.25">
      <c r="A85" t="s">
        <v>4</v>
      </c>
      <c r="B85" t="s">
        <v>172</v>
      </c>
      <c r="C85" t="s">
        <v>173</v>
      </c>
      <c r="D85" s="2">
        <v>45408</v>
      </c>
      <c r="E85">
        <f>IF(RIGHT(LeaversJoiners[[#This Row],[Code]],1)=")",1,0)</f>
        <v>0</v>
      </c>
      <c r="F85" t="str">
        <f>IF(LeaversJoiners[[#This Row],[Sütun1]]=1,LEFT(LeaversJoiners[[#This Row],[Code]],FIND("^",LeaversJoiners[[#This Row],[Code]])-1),LeaversJoiners[[#This Row],[Code]])</f>
        <v xml:space="preserve">RGYAS.IS </v>
      </c>
    </row>
    <row r="86" spans="1:6" x14ac:dyDescent="0.25">
      <c r="A86" t="s">
        <v>4</v>
      </c>
      <c r="B86" t="s">
        <v>174</v>
      </c>
      <c r="C86" t="s">
        <v>175</v>
      </c>
      <c r="D86" s="2">
        <v>45386</v>
      </c>
      <c r="E86">
        <f>IF(RIGHT(LeaversJoiners[[#This Row],[Code]],1)=")",1,0)</f>
        <v>0</v>
      </c>
      <c r="F86" t="str">
        <f>IF(LeaversJoiners[[#This Row],[Sütun1]]=1,LEFT(LeaversJoiners[[#This Row],[Code]],FIND("^",LeaversJoiners[[#This Row],[Code]])-1),LeaversJoiners[[#This Row],[Code]])</f>
        <v xml:space="preserve">ENTRA.IS </v>
      </c>
    </row>
    <row r="87" spans="1:6" x14ac:dyDescent="0.25">
      <c r="A87" t="s">
        <v>4</v>
      </c>
      <c r="B87" t="s">
        <v>176</v>
      </c>
      <c r="C87" t="s">
        <v>177</v>
      </c>
      <c r="D87" s="2">
        <v>45372</v>
      </c>
      <c r="E87">
        <f>IF(RIGHT(LeaversJoiners[[#This Row],[Code]],1)=")",1,0)</f>
        <v>0</v>
      </c>
      <c r="F87" t="str">
        <f>IF(LeaversJoiners[[#This Row],[Sütun1]]=1,LEFT(LeaversJoiners[[#This Row],[Code]],FIND("^",LeaversJoiners[[#This Row],[Code]])-1),LeaversJoiners[[#This Row],[Code]])</f>
        <v xml:space="preserve">ODINE.IS </v>
      </c>
    </row>
    <row r="88" spans="1:6" x14ac:dyDescent="0.25">
      <c r="A88" t="s">
        <v>4</v>
      </c>
      <c r="B88" t="s">
        <v>178</v>
      </c>
      <c r="C88" t="s">
        <v>179</v>
      </c>
      <c r="D88" s="2">
        <v>45359</v>
      </c>
      <c r="E88">
        <f>IF(RIGHT(LeaversJoiners[[#This Row],[Code]],1)=")",1,0)</f>
        <v>0</v>
      </c>
      <c r="F88" t="str">
        <f>IF(LeaversJoiners[[#This Row],[Sütun1]]=1,LEFT(LeaversJoiners[[#This Row],[Code]],FIND("^",LeaversJoiners[[#This Row],[Code]])-1),LeaversJoiners[[#This Row],[Code]])</f>
        <v xml:space="preserve">MOGAN.IS </v>
      </c>
    </row>
    <row r="89" spans="1:6" x14ac:dyDescent="0.25">
      <c r="A89" t="s">
        <v>4</v>
      </c>
      <c r="B89" t="s">
        <v>180</v>
      </c>
      <c r="C89" t="s">
        <v>181</v>
      </c>
      <c r="D89" s="2">
        <v>45355</v>
      </c>
      <c r="E89">
        <f>IF(RIGHT(LeaversJoiners[[#This Row],[Code]],1)=")",1,0)</f>
        <v>0</v>
      </c>
      <c r="F89" t="str">
        <f>IF(LeaversJoiners[[#This Row],[Sütun1]]=1,LEFT(LeaversJoiners[[#This Row],[Code]],FIND("^",LeaversJoiners[[#This Row],[Code]])-1),LeaversJoiners[[#This Row],[Code]])</f>
        <v xml:space="preserve">ARTMS.IS </v>
      </c>
    </row>
    <row r="90" spans="1:6" x14ac:dyDescent="0.25">
      <c r="A90" t="s">
        <v>4</v>
      </c>
      <c r="B90" t="s">
        <v>182</v>
      </c>
      <c r="C90" t="s">
        <v>183</v>
      </c>
      <c r="D90" s="2">
        <v>45352</v>
      </c>
      <c r="E90">
        <f>IF(RIGHT(LeaversJoiners[[#This Row],[Code]],1)=")",1,0)</f>
        <v>0</v>
      </c>
      <c r="F90" t="str">
        <f>IF(LeaversJoiners[[#This Row],[Sütun1]]=1,LEFT(LeaversJoiners[[#This Row],[Code]],FIND("^",LeaversJoiners[[#This Row],[Code]])-1),LeaversJoiners[[#This Row],[Code]])</f>
        <v xml:space="preserve">OBAMS.IS </v>
      </c>
    </row>
    <row r="91" spans="1:6" x14ac:dyDescent="0.25">
      <c r="A91" t="s">
        <v>4</v>
      </c>
      <c r="B91" t="s">
        <v>184</v>
      </c>
      <c r="C91" t="s">
        <v>185</v>
      </c>
      <c r="D91" s="2">
        <v>45351</v>
      </c>
      <c r="E91">
        <f>IF(RIGHT(LeaversJoiners[[#This Row],[Code]],1)=")",1,0)</f>
        <v>0</v>
      </c>
      <c r="F91" t="str">
        <f>IF(LeaversJoiners[[#This Row],[Sütun1]]=1,LEFT(LeaversJoiners[[#This Row],[Code]],FIND("^",LeaversJoiners[[#This Row],[Code]])-1),LeaversJoiners[[#This Row],[Code]])</f>
        <v xml:space="preserve">ALVES.IS </v>
      </c>
    </row>
    <row r="92" spans="1:6" x14ac:dyDescent="0.25">
      <c r="A92" t="s">
        <v>4</v>
      </c>
      <c r="B92" t="s">
        <v>186</v>
      </c>
      <c r="C92" t="s">
        <v>187</v>
      </c>
      <c r="D92" s="2">
        <v>45344</v>
      </c>
      <c r="E92">
        <f>IF(RIGHT(LeaversJoiners[[#This Row],[Code]],1)=")",1,0)</f>
        <v>0</v>
      </c>
      <c r="F92" t="str">
        <f>IF(LeaversJoiners[[#This Row],[Sütun1]]=1,LEFT(LeaversJoiners[[#This Row],[Code]],FIND("^",LeaversJoiners[[#This Row],[Code]])-1),LeaversJoiners[[#This Row],[Code]])</f>
        <v xml:space="preserve">LMKDC.IS </v>
      </c>
    </row>
    <row r="93" spans="1:6" x14ac:dyDescent="0.25">
      <c r="A93" t="s">
        <v>4</v>
      </c>
      <c r="B93" t="s">
        <v>188</v>
      </c>
      <c r="C93" t="s">
        <v>189</v>
      </c>
      <c r="D93" s="2">
        <v>45337</v>
      </c>
      <c r="E93">
        <f>IF(RIGHT(LeaversJoiners[[#This Row],[Code]],1)=")",1,0)</f>
        <v>0</v>
      </c>
      <c r="F93" t="str">
        <f>IF(LeaversJoiners[[#This Row],[Sütun1]]=1,LEFT(LeaversJoiners[[#This Row],[Code]],FIND("^",LeaversJoiners[[#This Row],[Code]])-1),LeaversJoiners[[#This Row],[Code]])</f>
        <v xml:space="preserve">BORSK.IS </v>
      </c>
    </row>
    <row r="94" spans="1:6" x14ac:dyDescent="0.25">
      <c r="A94" t="s">
        <v>4</v>
      </c>
      <c r="B94" t="s">
        <v>190</v>
      </c>
      <c r="C94" t="s">
        <v>191</v>
      </c>
      <c r="D94" s="2">
        <v>45335</v>
      </c>
      <c r="E94">
        <f>IF(RIGHT(LeaversJoiners[[#This Row],[Code]],1)=")",1,0)</f>
        <v>0</v>
      </c>
      <c r="F94" t="str">
        <f>IF(LeaversJoiners[[#This Row],[Sütun1]]=1,LEFT(LeaversJoiners[[#This Row],[Code]],FIND("^",LeaversJoiners[[#This Row],[Code]])-1),LeaversJoiners[[#This Row],[Code]])</f>
        <v xml:space="preserve">PATEK.IS </v>
      </c>
    </row>
    <row r="95" spans="1:6" x14ac:dyDescent="0.25">
      <c r="A95" t="s">
        <v>4</v>
      </c>
      <c r="B95" t="s">
        <v>192</v>
      </c>
      <c r="C95" t="s">
        <v>193</v>
      </c>
      <c r="D95" s="2">
        <v>45281</v>
      </c>
      <c r="E95">
        <f>IF(RIGHT(LeaversJoiners[[#This Row],[Code]],1)=")",1,0)</f>
        <v>0</v>
      </c>
      <c r="F95" t="str">
        <f>IF(LeaversJoiners[[#This Row],[Sütun1]]=1,LEFT(LeaversJoiners[[#This Row],[Code]],FIND("^",LeaversJoiners[[#This Row],[Code]])-1),LeaversJoiners[[#This Row],[Code]])</f>
        <v xml:space="preserve">AVPGY.IS </v>
      </c>
    </row>
    <row r="96" spans="1:6" x14ac:dyDescent="0.25">
      <c r="A96" t="s">
        <v>4</v>
      </c>
      <c r="B96" t="s">
        <v>194</v>
      </c>
      <c r="C96" t="s">
        <v>195</v>
      </c>
      <c r="D96" s="2">
        <v>45275</v>
      </c>
      <c r="E96">
        <f>IF(RIGHT(LeaversJoiners[[#This Row],[Code]],1)=")",1,0)</f>
        <v>0</v>
      </c>
      <c r="F96" t="str">
        <f>IF(LeaversJoiners[[#This Row],[Sütun1]]=1,LEFT(LeaversJoiners[[#This Row],[Code]],FIND("^",LeaversJoiners[[#This Row],[Code]])-1),LeaversJoiners[[#This Row],[Code]])</f>
        <v xml:space="preserve">MEGMT.IS </v>
      </c>
    </row>
    <row r="97" spans="1:6" x14ac:dyDescent="0.25">
      <c r="A97" t="s">
        <v>4</v>
      </c>
      <c r="B97" t="s">
        <v>196</v>
      </c>
      <c r="C97" t="s">
        <v>197</v>
      </c>
      <c r="D97" s="2">
        <v>45274</v>
      </c>
      <c r="E97">
        <f>IF(RIGHT(LeaversJoiners[[#This Row],[Code]],1)=")",1,0)</f>
        <v>0</v>
      </c>
      <c r="F97" t="str">
        <f>IF(LeaversJoiners[[#This Row],[Sütun1]]=1,LEFT(LeaversJoiners[[#This Row],[Code]],FIND("^",LeaversJoiners[[#This Row],[Code]])-1),LeaversJoiners[[#This Row],[Code]])</f>
        <v xml:space="preserve">KBORU.IS </v>
      </c>
    </row>
    <row r="98" spans="1:6" x14ac:dyDescent="0.25">
      <c r="A98" t="s">
        <v>4</v>
      </c>
      <c r="B98" t="s">
        <v>198</v>
      </c>
      <c r="C98" t="s">
        <v>199</v>
      </c>
      <c r="D98" s="2">
        <v>45274</v>
      </c>
      <c r="E98">
        <f>IF(RIGHT(LeaversJoiners[[#This Row],[Code]],1)=")",1,0)</f>
        <v>0</v>
      </c>
      <c r="F98" t="str">
        <f>IF(LeaversJoiners[[#This Row],[Sütun1]]=1,LEFT(LeaversJoiners[[#This Row],[Code]],FIND("^",LeaversJoiners[[#This Row],[Code]])-1),LeaversJoiners[[#This Row],[Code]])</f>
        <v xml:space="preserve">SURGY.IS </v>
      </c>
    </row>
    <row r="99" spans="1:6" x14ac:dyDescent="0.25">
      <c r="A99" t="s">
        <v>4</v>
      </c>
      <c r="B99" t="s">
        <v>200</v>
      </c>
      <c r="C99" t="s">
        <v>201</v>
      </c>
      <c r="D99" s="2">
        <v>45268</v>
      </c>
      <c r="E99">
        <f>IF(RIGHT(LeaversJoiners[[#This Row],[Code]],1)=")",1,0)</f>
        <v>0</v>
      </c>
      <c r="F99" t="str">
        <f>IF(LeaversJoiners[[#This Row],[Sütun1]]=1,LEFT(LeaversJoiners[[#This Row],[Code]],FIND("^",LeaversJoiners[[#This Row],[Code]])-1),LeaversJoiners[[#This Row],[Code]])</f>
        <v xml:space="preserve">BEGYO.IS </v>
      </c>
    </row>
    <row r="100" spans="1:6" x14ac:dyDescent="0.25">
      <c r="A100" t="s">
        <v>4</v>
      </c>
      <c r="B100" t="s">
        <v>202</v>
      </c>
      <c r="C100" t="s">
        <v>203</v>
      </c>
      <c r="D100" s="2">
        <v>45267</v>
      </c>
      <c r="E100">
        <f>IF(RIGHT(LeaversJoiners[[#This Row],[Code]],1)=")",1,0)</f>
        <v>0</v>
      </c>
      <c r="F100" t="str">
        <f>IF(LeaversJoiners[[#This Row],[Sütun1]]=1,LEFT(LeaversJoiners[[#This Row],[Code]],FIND("^",LeaversJoiners[[#This Row],[Code]])-1),LeaversJoiners[[#This Row],[Code]])</f>
        <v xml:space="preserve">CATES.IS </v>
      </c>
    </row>
    <row r="101" spans="1:6" x14ac:dyDescent="0.25">
      <c r="A101" t="s">
        <v>4</v>
      </c>
      <c r="B101" t="s">
        <v>204</v>
      </c>
      <c r="C101" t="s">
        <v>205</v>
      </c>
      <c r="D101" s="2">
        <v>45266</v>
      </c>
      <c r="E101">
        <f>IF(RIGHT(LeaversJoiners[[#This Row],[Code]],1)=")",1,0)</f>
        <v>0</v>
      </c>
      <c r="F101" t="str">
        <f>IF(LeaversJoiners[[#This Row],[Sütun1]]=1,LEFT(LeaversJoiners[[#This Row],[Code]],FIND("^",LeaversJoiners[[#This Row],[Code]])-1),LeaversJoiners[[#This Row],[Code]])</f>
        <v xml:space="preserve">SKYMD.IS </v>
      </c>
    </row>
    <row r="102" spans="1:6" x14ac:dyDescent="0.25">
      <c r="A102" t="s">
        <v>4</v>
      </c>
      <c r="B102" t="s">
        <v>54</v>
      </c>
      <c r="C102" t="s">
        <v>55</v>
      </c>
      <c r="D102" s="2">
        <v>45257</v>
      </c>
      <c r="E102">
        <f>IF(RIGHT(LeaversJoiners[[#This Row],[Code]],1)=")",1,0)</f>
        <v>0</v>
      </c>
      <c r="F102" t="str">
        <f>IF(LeaversJoiners[[#This Row],[Sütun1]]=1,LEFT(LeaversJoiners[[#This Row],[Code]],FIND("^",LeaversJoiners[[#This Row],[Code]])-1),LeaversJoiners[[#This Row],[Code]])</f>
        <v xml:space="preserve">AYES.IS </v>
      </c>
    </row>
    <row r="103" spans="1:6" x14ac:dyDescent="0.25">
      <c r="A103" t="s">
        <v>4</v>
      </c>
      <c r="B103" t="s">
        <v>56</v>
      </c>
      <c r="C103" t="s">
        <v>57</v>
      </c>
      <c r="D103" s="2">
        <v>45257</v>
      </c>
      <c r="E103">
        <f>IF(RIGHT(LeaversJoiners[[#This Row],[Code]],1)=")",1,0)</f>
        <v>0</v>
      </c>
      <c r="F103" t="str">
        <f>IF(LeaversJoiners[[#This Row],[Sütun1]]=1,LEFT(LeaversJoiners[[#This Row],[Code]],FIND("^",LeaversJoiners[[#This Row],[Code]])-1),LeaversJoiners[[#This Row],[Code]])</f>
        <v xml:space="preserve">BALAT.IS </v>
      </c>
    </row>
    <row r="104" spans="1:6" x14ac:dyDescent="0.25">
      <c r="A104" t="s">
        <v>4</v>
      </c>
      <c r="B104" t="s">
        <v>58</v>
      </c>
      <c r="C104" t="s">
        <v>59</v>
      </c>
      <c r="D104" s="2">
        <v>45257</v>
      </c>
      <c r="E104">
        <f>IF(RIGHT(LeaversJoiners[[#This Row],[Code]],1)=")",1,0)</f>
        <v>0</v>
      </c>
      <c r="F104" t="str">
        <f>IF(LeaversJoiners[[#This Row],[Sütun1]]=1,LEFT(LeaversJoiners[[#This Row],[Code]],FIND("^",LeaversJoiners[[#This Row],[Code]])-1),LeaversJoiners[[#This Row],[Code]])</f>
        <v xml:space="preserve">BASCM.IS </v>
      </c>
    </row>
    <row r="105" spans="1:6" x14ac:dyDescent="0.25">
      <c r="A105" t="s">
        <v>4</v>
      </c>
      <c r="B105" t="s">
        <v>60</v>
      </c>
      <c r="C105" t="s">
        <v>61</v>
      </c>
      <c r="D105" s="2">
        <v>45257</v>
      </c>
      <c r="E105">
        <f>IF(RIGHT(LeaversJoiners[[#This Row],[Code]],1)=")",1,0)</f>
        <v>0</v>
      </c>
      <c r="F105" t="str">
        <f>IF(LeaversJoiners[[#This Row],[Sütun1]]=1,LEFT(LeaversJoiners[[#This Row],[Code]],FIND("^",LeaversJoiners[[#This Row],[Code]])-1),LeaversJoiners[[#This Row],[Code]])</f>
        <v xml:space="preserve">CMENT.IS </v>
      </c>
    </row>
    <row r="106" spans="1:6" x14ac:dyDescent="0.25">
      <c r="A106" t="s">
        <v>4</v>
      </c>
      <c r="B106" t="s">
        <v>62</v>
      </c>
      <c r="C106" t="s">
        <v>63</v>
      </c>
      <c r="D106" s="2">
        <v>45257</v>
      </c>
      <c r="E106">
        <f>IF(RIGHT(LeaversJoiners[[#This Row],[Code]],1)=")",1,0)</f>
        <v>0</v>
      </c>
      <c r="F106" t="str">
        <f>IF(LeaversJoiners[[#This Row],[Sütun1]]=1,LEFT(LeaversJoiners[[#This Row],[Code]],FIND("^",LeaversJoiners[[#This Row],[Code]])-1),LeaversJoiners[[#This Row],[Code]])</f>
        <v xml:space="preserve">INTEK.IS </v>
      </c>
    </row>
    <row r="107" spans="1:6" x14ac:dyDescent="0.25">
      <c r="A107" t="s">
        <v>4</v>
      </c>
      <c r="B107" t="s">
        <v>64</v>
      </c>
      <c r="C107" t="s">
        <v>65</v>
      </c>
      <c r="D107" s="2">
        <v>45257</v>
      </c>
      <c r="E107">
        <f>IF(RIGHT(LeaversJoiners[[#This Row],[Code]],1)=")",1,0)</f>
        <v>0</v>
      </c>
      <c r="F107" t="str">
        <f>IF(LeaversJoiners[[#This Row],[Sütun1]]=1,LEFT(LeaversJoiners[[#This Row],[Code]],FIND("^",LeaversJoiners[[#This Row],[Code]])-1),LeaversJoiners[[#This Row],[Code]])</f>
        <v xml:space="preserve">ISBIR.IS </v>
      </c>
    </row>
    <row r="108" spans="1:6" x14ac:dyDescent="0.25">
      <c r="A108" t="s">
        <v>4</v>
      </c>
      <c r="B108" t="s">
        <v>66</v>
      </c>
      <c r="C108" t="s">
        <v>67</v>
      </c>
      <c r="D108" s="2">
        <v>45257</v>
      </c>
      <c r="E108">
        <f>IF(RIGHT(LeaversJoiners[[#This Row],[Code]],1)=")",1,0)</f>
        <v>0</v>
      </c>
      <c r="F108" t="str">
        <f>IF(LeaversJoiners[[#This Row],[Sütun1]]=1,LEFT(LeaversJoiners[[#This Row],[Code]],FIND("^",LeaversJoiners[[#This Row],[Code]])-1),LeaversJoiners[[#This Row],[Code]])</f>
        <v xml:space="preserve">KENT.IS </v>
      </c>
    </row>
    <row r="109" spans="1:6" x14ac:dyDescent="0.25">
      <c r="A109" t="s">
        <v>4</v>
      </c>
      <c r="B109" t="s">
        <v>68</v>
      </c>
      <c r="C109" t="s">
        <v>69</v>
      </c>
      <c r="D109" s="2">
        <v>45257</v>
      </c>
      <c r="E109">
        <f>IF(RIGHT(LeaversJoiners[[#This Row],[Code]],1)=")",1,0)</f>
        <v>0</v>
      </c>
      <c r="F109" t="str">
        <f>IF(LeaversJoiners[[#This Row],[Sütun1]]=1,LEFT(LeaversJoiners[[#This Row],[Code]],FIND("^",LeaversJoiners[[#This Row],[Code]])-1),LeaversJoiners[[#This Row],[Code]])</f>
        <v xml:space="preserve">KSTUR.IS </v>
      </c>
    </row>
    <row r="110" spans="1:6" x14ac:dyDescent="0.25">
      <c r="A110" t="s">
        <v>4</v>
      </c>
      <c r="B110" t="s">
        <v>70</v>
      </c>
      <c r="C110" t="s">
        <v>71</v>
      </c>
      <c r="D110" s="2">
        <v>45257</v>
      </c>
      <c r="E110">
        <f>IF(RIGHT(LeaversJoiners[[#This Row],[Code]],1)=")",1,0)</f>
        <v>0</v>
      </c>
      <c r="F110" t="str">
        <f>IF(LeaversJoiners[[#This Row],[Sütun1]]=1,LEFT(LeaversJoiners[[#This Row],[Code]],FIND("^",LeaversJoiners[[#This Row],[Code]])-1),LeaversJoiners[[#This Row],[Code]])</f>
        <v xml:space="preserve">ORMA.IS </v>
      </c>
    </row>
    <row r="111" spans="1:6" x14ac:dyDescent="0.25">
      <c r="A111" t="s">
        <v>4</v>
      </c>
      <c r="B111" t="s">
        <v>72</v>
      </c>
      <c r="C111" t="s">
        <v>73</v>
      </c>
      <c r="D111" s="2">
        <v>45257</v>
      </c>
      <c r="E111">
        <f>IF(RIGHT(LeaversJoiners[[#This Row],[Code]],1)=")",1,0)</f>
        <v>0</v>
      </c>
      <c r="F111" t="str">
        <f>IF(LeaversJoiners[[#This Row],[Sütun1]]=1,LEFT(LeaversJoiners[[#This Row],[Code]],FIND("^",LeaversJoiners[[#This Row],[Code]])-1),LeaversJoiners[[#This Row],[Code]])</f>
        <v xml:space="preserve">QNBTR.IS </v>
      </c>
    </row>
    <row r="112" spans="1:6" x14ac:dyDescent="0.25">
      <c r="A112" t="s">
        <v>4</v>
      </c>
      <c r="B112" t="s">
        <v>74</v>
      </c>
      <c r="C112" t="s">
        <v>75</v>
      </c>
      <c r="D112" s="2">
        <v>45257</v>
      </c>
      <c r="E112">
        <f>IF(RIGHT(LeaversJoiners[[#This Row],[Code]],1)=")",1,0)</f>
        <v>0</v>
      </c>
      <c r="F112" t="str">
        <f>IF(LeaversJoiners[[#This Row],[Sütun1]]=1,LEFT(LeaversJoiners[[#This Row],[Code]],FIND("^",LeaversJoiners[[#This Row],[Code]])-1),LeaversJoiners[[#This Row],[Code]])</f>
        <v xml:space="preserve">QNBFK.IS </v>
      </c>
    </row>
    <row r="113" spans="1:6" x14ac:dyDescent="0.25">
      <c r="A113" t="s">
        <v>4</v>
      </c>
      <c r="B113" t="s">
        <v>76</v>
      </c>
      <c r="C113" t="s">
        <v>77</v>
      </c>
      <c r="D113" s="2">
        <v>45257</v>
      </c>
      <c r="E113">
        <f>IF(RIGHT(LeaversJoiners[[#This Row],[Code]],1)=")",1,0)</f>
        <v>0</v>
      </c>
      <c r="F113" t="str">
        <f>IF(LeaversJoiners[[#This Row],[Sütun1]]=1,LEFT(LeaversJoiners[[#This Row],[Code]],FIND("^",LeaversJoiners[[#This Row],[Code]])-1),LeaversJoiners[[#This Row],[Code]])</f>
        <v xml:space="preserve">SODSN.IS </v>
      </c>
    </row>
    <row r="114" spans="1:6" x14ac:dyDescent="0.25">
      <c r="A114" t="s">
        <v>4</v>
      </c>
      <c r="B114" t="s">
        <v>78</v>
      </c>
      <c r="C114" t="s">
        <v>79</v>
      </c>
      <c r="D114" s="2">
        <v>45257</v>
      </c>
      <c r="E114">
        <f>IF(RIGHT(LeaversJoiners[[#This Row],[Code]],1)=")",1,0)</f>
        <v>0</v>
      </c>
      <c r="F114" t="str">
        <f>IF(LeaversJoiners[[#This Row],[Sütun1]]=1,LEFT(LeaversJoiners[[#This Row],[Code]],FIND("^",LeaversJoiners[[#This Row],[Code]])-1),LeaversJoiners[[#This Row],[Code]])</f>
        <v xml:space="preserve">SNPAM.IS </v>
      </c>
    </row>
    <row r="115" spans="1:6" x14ac:dyDescent="0.25">
      <c r="A115" t="s">
        <v>4</v>
      </c>
      <c r="B115" t="s">
        <v>80</v>
      </c>
      <c r="C115" t="s">
        <v>81</v>
      </c>
      <c r="D115" s="2">
        <v>45257</v>
      </c>
      <c r="E115">
        <f>IF(RIGHT(LeaversJoiners[[#This Row],[Code]],1)=")",1,0)</f>
        <v>0</v>
      </c>
      <c r="F115" t="str">
        <f>IF(LeaversJoiners[[#This Row],[Sütun1]]=1,LEFT(LeaversJoiners[[#This Row],[Code]],FIND("^",LeaversJoiners[[#This Row],[Code]])-1),LeaversJoiners[[#This Row],[Code]])</f>
        <v xml:space="preserve">SUMAS.IS </v>
      </c>
    </row>
    <row r="116" spans="1:6" x14ac:dyDescent="0.25">
      <c r="A116" t="s">
        <v>4</v>
      </c>
      <c r="B116" t="s">
        <v>206</v>
      </c>
      <c r="C116" t="s">
        <v>207</v>
      </c>
      <c r="D116" s="2">
        <v>45257</v>
      </c>
      <c r="E116">
        <f>IF(RIGHT(LeaversJoiners[[#This Row],[Code]],1)=")",1,0)</f>
        <v>0</v>
      </c>
      <c r="F116" t="str">
        <f>IF(LeaversJoiners[[#This Row],[Sütun1]]=1,LEFT(LeaversJoiners[[#This Row],[Code]],FIND("^",LeaversJoiners[[#This Row],[Code]])-1),LeaversJoiners[[#This Row],[Code]])</f>
        <v xml:space="preserve">TBORG.IS </v>
      </c>
    </row>
    <row r="117" spans="1:6" x14ac:dyDescent="0.25">
      <c r="A117" t="s">
        <v>4</v>
      </c>
      <c r="B117" t="s">
        <v>82</v>
      </c>
      <c r="C117" t="s">
        <v>83</v>
      </c>
      <c r="D117" s="2">
        <v>45257</v>
      </c>
      <c r="E117">
        <f>IF(RIGHT(LeaversJoiners[[#This Row],[Code]],1)=")",1,0)</f>
        <v>0</v>
      </c>
      <c r="F117" t="str">
        <f>IF(LeaversJoiners[[#This Row],[Sütun1]]=1,LEFT(LeaversJoiners[[#This Row],[Code]],FIND("^",LeaversJoiners[[#This Row],[Code]])-1),LeaversJoiners[[#This Row],[Code]])</f>
        <v xml:space="preserve">KLNMA.IS </v>
      </c>
    </row>
    <row r="118" spans="1:6" x14ac:dyDescent="0.25">
      <c r="A118" t="s">
        <v>4</v>
      </c>
      <c r="B118" t="s">
        <v>128</v>
      </c>
      <c r="C118" t="s">
        <v>129</v>
      </c>
      <c r="D118" s="2">
        <v>45257</v>
      </c>
      <c r="E118">
        <f>IF(RIGHT(LeaversJoiners[[#This Row],[Code]],1)=")",1,0)</f>
        <v>0</v>
      </c>
      <c r="F118" t="str">
        <f>IF(LeaversJoiners[[#This Row],[Sütun1]]=1,LEFT(LeaversJoiners[[#This Row],[Code]],FIND("^",LeaversJoiners[[#This Row],[Code]])-1),LeaversJoiners[[#This Row],[Code]])</f>
        <v xml:space="preserve">UMPAS.IS </v>
      </c>
    </row>
    <row r="119" spans="1:6" x14ac:dyDescent="0.25">
      <c r="A119" t="s">
        <v>4</v>
      </c>
      <c r="B119" t="s">
        <v>84</v>
      </c>
      <c r="C119" t="s">
        <v>85</v>
      </c>
      <c r="D119" s="2">
        <v>45257</v>
      </c>
      <c r="E119">
        <f>IF(RIGHT(LeaversJoiners[[#This Row],[Code]],1)=")",1,0)</f>
        <v>0</v>
      </c>
      <c r="F119" t="str">
        <f>IF(LeaversJoiners[[#This Row],[Sütun1]]=1,LEFT(LeaversJoiners[[#This Row],[Code]],FIND("^",LeaversJoiners[[#This Row],[Code]])-1),LeaversJoiners[[#This Row],[Code]])</f>
        <v xml:space="preserve">YBTAS.IS </v>
      </c>
    </row>
    <row r="120" spans="1:6" x14ac:dyDescent="0.25">
      <c r="A120" t="s">
        <v>4</v>
      </c>
      <c r="B120" t="s">
        <v>86</v>
      </c>
      <c r="C120" t="s">
        <v>87</v>
      </c>
      <c r="D120" s="2">
        <v>45257</v>
      </c>
      <c r="E120">
        <f>IF(RIGHT(LeaversJoiners[[#This Row],[Code]],1)=")",1,0)</f>
        <v>0</v>
      </c>
      <c r="F120" t="str">
        <f>IF(LeaversJoiners[[#This Row],[Sütun1]]=1,LEFT(LeaversJoiners[[#This Row],[Code]],FIND("^",LeaversJoiners[[#This Row],[Code]])-1),LeaversJoiners[[#This Row],[Code]])</f>
        <v xml:space="preserve">YONGA.IS </v>
      </c>
    </row>
    <row r="121" spans="1:6" x14ac:dyDescent="0.25">
      <c r="A121" t="s">
        <v>4</v>
      </c>
      <c r="B121" t="s">
        <v>208</v>
      </c>
      <c r="C121" t="s">
        <v>209</v>
      </c>
      <c r="D121" s="2">
        <v>45253</v>
      </c>
      <c r="E121">
        <f>IF(RIGHT(LeaversJoiners[[#This Row],[Code]],1)=")",1,0)</f>
        <v>0</v>
      </c>
      <c r="F121" t="str">
        <f>IF(LeaversJoiners[[#This Row],[Sütun1]]=1,LEFT(LeaversJoiners[[#This Row],[Code]],FIND("^",LeaversJoiners[[#This Row],[Code]])-1),LeaversJoiners[[#This Row],[Code]])</f>
        <v xml:space="preserve">AGROT.IS </v>
      </c>
    </row>
    <row r="122" spans="1:6" x14ac:dyDescent="0.25">
      <c r="A122" t="s">
        <v>4</v>
      </c>
      <c r="B122" t="s">
        <v>210</v>
      </c>
      <c r="C122" t="s">
        <v>211</v>
      </c>
      <c r="D122" s="2">
        <v>45251</v>
      </c>
      <c r="E122">
        <f>IF(RIGHT(LeaversJoiners[[#This Row],[Code]],1)=")",1,0)</f>
        <v>0</v>
      </c>
      <c r="F122" t="str">
        <f>IF(LeaversJoiners[[#This Row],[Sütun1]]=1,LEFT(LeaversJoiners[[#This Row],[Code]],FIND("^",LeaversJoiners[[#This Row],[Code]])-1),LeaversJoiners[[#This Row],[Code]])</f>
        <v xml:space="preserve">EKOS.IS </v>
      </c>
    </row>
    <row r="123" spans="1:6" x14ac:dyDescent="0.25">
      <c r="A123" t="s">
        <v>4</v>
      </c>
      <c r="B123" t="s">
        <v>212</v>
      </c>
      <c r="C123" t="s">
        <v>213</v>
      </c>
      <c r="D123" s="2">
        <v>45250</v>
      </c>
      <c r="E123">
        <f>IF(RIGHT(LeaversJoiners[[#This Row],[Code]],1)=")",1,0)</f>
        <v>0</v>
      </c>
      <c r="F123" t="str">
        <f>IF(LeaversJoiners[[#This Row],[Sütun1]]=1,LEFT(LeaversJoiners[[#This Row],[Code]],FIND("^",LeaversJoiners[[#This Row],[Code]])-1),LeaversJoiners[[#This Row],[Code]])</f>
        <v xml:space="preserve">BINHO.IS </v>
      </c>
    </row>
    <row r="124" spans="1:6" x14ac:dyDescent="0.25">
      <c r="A124" t="s">
        <v>4</v>
      </c>
      <c r="B124" t="s">
        <v>214</v>
      </c>
      <c r="C124" t="s">
        <v>215</v>
      </c>
      <c r="D124" s="2">
        <v>45238</v>
      </c>
      <c r="E124">
        <f>IF(RIGHT(LeaversJoiners[[#This Row],[Code]],1)=")",1,0)</f>
        <v>0</v>
      </c>
      <c r="F124" t="str">
        <f>IF(LeaversJoiners[[#This Row],[Sütun1]]=1,LEFT(LeaversJoiners[[#This Row],[Code]],FIND("^",LeaversJoiners[[#This Row],[Code]])-1),LeaversJoiners[[#This Row],[Code]])</f>
        <v xml:space="preserve">MARBL.IS </v>
      </c>
    </row>
    <row r="125" spans="1:6" x14ac:dyDescent="0.25">
      <c r="A125" t="s">
        <v>4</v>
      </c>
      <c r="B125" t="s">
        <v>216</v>
      </c>
      <c r="C125" t="s">
        <v>217</v>
      </c>
      <c r="D125" s="2">
        <v>45226</v>
      </c>
      <c r="E125">
        <f>IF(RIGHT(LeaversJoiners[[#This Row],[Code]],1)=")",1,0)</f>
        <v>0</v>
      </c>
      <c r="F125" t="str">
        <f>IF(LeaversJoiners[[#This Row],[Sütun1]]=1,LEFT(LeaversJoiners[[#This Row],[Code]],FIND("^",LeaversJoiners[[#This Row],[Code]])-1),LeaversJoiners[[#This Row],[Code]])</f>
        <v xml:space="preserve">VRGYO.IS </v>
      </c>
    </row>
    <row r="126" spans="1:6" x14ac:dyDescent="0.25">
      <c r="A126" t="s">
        <v>4</v>
      </c>
      <c r="B126" t="s">
        <v>218</v>
      </c>
      <c r="C126" t="s">
        <v>219</v>
      </c>
      <c r="D126" s="2">
        <v>45225</v>
      </c>
      <c r="E126">
        <f>IF(RIGHT(LeaversJoiners[[#This Row],[Code]],1)=")",1,0)</f>
        <v>0</v>
      </c>
      <c r="F126" t="str">
        <f>IF(LeaversJoiners[[#This Row],[Sütun1]]=1,LEFT(LeaversJoiners[[#This Row],[Code]],FIND("^",LeaversJoiners[[#This Row],[Code]])-1),LeaversJoiners[[#This Row],[Code]])</f>
        <v xml:space="preserve">TABGD.IS </v>
      </c>
    </row>
    <row r="127" spans="1:6" x14ac:dyDescent="0.25">
      <c r="A127" t="s">
        <v>4</v>
      </c>
      <c r="B127" t="s">
        <v>220</v>
      </c>
      <c r="C127" t="s">
        <v>221</v>
      </c>
      <c r="D127" s="2">
        <v>45218</v>
      </c>
      <c r="E127">
        <f>IF(RIGHT(LeaversJoiners[[#This Row],[Code]],1)=")",1,0)</f>
        <v>0</v>
      </c>
      <c r="F127" t="str">
        <f>IF(LeaversJoiners[[#This Row],[Sütun1]]=1,LEFT(LeaversJoiners[[#This Row],[Code]],FIND("^",LeaversJoiners[[#This Row],[Code]])-1),LeaversJoiners[[#This Row],[Code]])</f>
        <v xml:space="preserve">BORLS.IS </v>
      </c>
    </row>
    <row r="128" spans="1:6" x14ac:dyDescent="0.25">
      <c r="A128" t="s">
        <v>4</v>
      </c>
      <c r="B128" t="s">
        <v>222</v>
      </c>
      <c r="C128" t="s">
        <v>223</v>
      </c>
      <c r="D128" s="2">
        <v>45217</v>
      </c>
      <c r="E128">
        <f>IF(RIGHT(LeaversJoiners[[#This Row],[Code]],1)=")",1,0)</f>
        <v>0</v>
      </c>
      <c r="F128" t="str">
        <f>IF(LeaversJoiners[[#This Row],[Sütun1]]=1,LEFT(LeaversJoiners[[#This Row],[Code]],FIND("^",LeaversJoiners[[#This Row],[Code]])-1),LeaversJoiners[[#This Row],[Code]])</f>
        <v xml:space="preserve">MHRGY.IS </v>
      </c>
    </row>
    <row r="129" spans="1:6" x14ac:dyDescent="0.25">
      <c r="A129" t="s">
        <v>4</v>
      </c>
      <c r="B129" t="s">
        <v>224</v>
      </c>
      <c r="C129" t="s">
        <v>225</v>
      </c>
      <c r="D129" s="2">
        <v>45215</v>
      </c>
      <c r="E129">
        <f>IF(RIGHT(LeaversJoiners[[#This Row],[Code]],1)=")",1,0)</f>
        <v>0</v>
      </c>
      <c r="F129" t="str">
        <f>IF(LeaversJoiners[[#This Row],[Sütun1]]=1,LEFT(LeaversJoiners[[#This Row],[Code]],FIND("^",LeaversJoiners[[#This Row],[Code]])-1),LeaversJoiners[[#This Row],[Code]])</f>
        <v xml:space="preserve">DOFER.IS </v>
      </c>
    </row>
    <row r="130" spans="1:6" x14ac:dyDescent="0.25">
      <c r="A130" t="s">
        <v>4</v>
      </c>
      <c r="B130" t="s">
        <v>226</v>
      </c>
      <c r="C130" t="s">
        <v>227</v>
      </c>
      <c r="D130" s="2">
        <v>45211</v>
      </c>
      <c r="E130">
        <f>IF(RIGHT(LeaversJoiners[[#This Row],[Code]],1)=")",1,0)</f>
        <v>0</v>
      </c>
      <c r="F130" t="str">
        <f>IF(LeaversJoiners[[#This Row],[Sütun1]]=1,LEFT(LeaversJoiners[[#This Row],[Code]],FIND("^",LeaversJoiners[[#This Row],[Code]])-1),LeaversJoiners[[#This Row],[Code]])</f>
        <v xml:space="preserve">MEKAG.IS </v>
      </c>
    </row>
    <row r="131" spans="1:6" x14ac:dyDescent="0.25">
      <c r="A131" t="s">
        <v>4</v>
      </c>
      <c r="B131" t="s">
        <v>228</v>
      </c>
      <c r="C131" t="s">
        <v>229</v>
      </c>
      <c r="D131" s="2">
        <v>45198</v>
      </c>
      <c r="E131">
        <f>IF(RIGHT(LeaversJoiners[[#This Row],[Code]],1)=")",1,0)</f>
        <v>0</v>
      </c>
      <c r="F131" t="str">
        <f>IF(LeaversJoiners[[#This Row],[Sütun1]]=1,LEFT(LeaversJoiners[[#This Row],[Code]],FIND("^",LeaversJoiners[[#This Row],[Code]])-1),LeaversJoiners[[#This Row],[Code]])</f>
        <v xml:space="preserve">DMRGD.IS </v>
      </c>
    </row>
    <row r="132" spans="1:6" x14ac:dyDescent="0.25">
      <c r="A132" t="s">
        <v>4</v>
      </c>
      <c r="B132" t="s">
        <v>230</v>
      </c>
      <c r="C132" t="s">
        <v>231</v>
      </c>
      <c r="D132" s="2">
        <v>45191</v>
      </c>
      <c r="E132">
        <f>IF(RIGHT(LeaversJoiners[[#This Row],[Code]],1)=")",1,0)</f>
        <v>0</v>
      </c>
      <c r="F132" t="str">
        <f>IF(LeaversJoiners[[#This Row],[Sütun1]]=1,LEFT(LeaversJoiners[[#This Row],[Code]],FIND("^",LeaversJoiners[[#This Row],[Code]])-1),LeaversJoiners[[#This Row],[Code]])</f>
        <v xml:space="preserve">HATSN.IS </v>
      </c>
    </row>
    <row r="133" spans="1:6" x14ac:dyDescent="0.25">
      <c r="A133" t="s">
        <v>4</v>
      </c>
      <c r="B133" t="s">
        <v>232</v>
      </c>
      <c r="C133" t="s">
        <v>233</v>
      </c>
      <c r="D133" s="2">
        <v>45190</v>
      </c>
      <c r="E133">
        <f>IF(RIGHT(LeaversJoiners[[#This Row],[Code]],1)=")",1,0)</f>
        <v>0</v>
      </c>
      <c r="F133" t="str">
        <f>IF(LeaversJoiners[[#This Row],[Sütun1]]=1,LEFT(LeaversJoiners[[#This Row],[Code]],FIND("^",LeaversJoiners[[#This Row],[Code]])-1),LeaversJoiners[[#This Row],[Code]])</f>
        <v xml:space="preserve">REEDR.IS </v>
      </c>
    </row>
    <row r="134" spans="1:6" x14ac:dyDescent="0.25">
      <c r="A134" t="s">
        <v>4</v>
      </c>
      <c r="B134" t="s">
        <v>234</v>
      </c>
      <c r="C134" t="s">
        <v>235</v>
      </c>
      <c r="D134" s="2">
        <v>45189</v>
      </c>
      <c r="E134">
        <f>IF(RIGHT(LeaversJoiners[[#This Row],[Code]],1)=")",1,0)</f>
        <v>0</v>
      </c>
      <c r="F134" t="str">
        <f>IF(LeaversJoiners[[#This Row],[Sütun1]]=1,LEFT(LeaversJoiners[[#This Row],[Code]],FIND("^",LeaversJoiners[[#This Row],[Code]])-1),LeaversJoiners[[#This Row],[Code]])</f>
        <v xml:space="preserve">ADGYO.IS </v>
      </c>
    </row>
    <row r="135" spans="1:6" x14ac:dyDescent="0.25">
      <c r="A135" t="s">
        <v>4</v>
      </c>
      <c r="B135" t="s">
        <v>236</v>
      </c>
      <c r="C135" t="s">
        <v>237</v>
      </c>
      <c r="D135" s="2">
        <v>45183</v>
      </c>
      <c r="E135">
        <f>IF(RIGHT(LeaversJoiners[[#This Row],[Code]],1)=")",1,0)</f>
        <v>0</v>
      </c>
      <c r="F135" t="str">
        <f>IF(LeaversJoiners[[#This Row],[Sütun1]]=1,LEFT(LeaversJoiners[[#This Row],[Code]],FIND("^",LeaversJoiners[[#This Row],[Code]])-1),LeaversJoiners[[#This Row],[Code]])</f>
        <v xml:space="preserve">GIPTA.IS </v>
      </c>
    </row>
    <row r="136" spans="1:6" x14ac:dyDescent="0.25">
      <c r="A136" t="s">
        <v>4</v>
      </c>
      <c r="B136" t="s">
        <v>238</v>
      </c>
      <c r="C136" t="s">
        <v>239</v>
      </c>
      <c r="D136" s="2">
        <v>45181</v>
      </c>
      <c r="E136">
        <f>IF(RIGHT(LeaversJoiners[[#This Row],[Code]],1)=")",1,0)</f>
        <v>0</v>
      </c>
      <c r="F136" t="str">
        <f>IF(LeaversJoiners[[#This Row],[Sütun1]]=1,LEFT(LeaversJoiners[[#This Row],[Code]],FIND("^",LeaversJoiners[[#This Row],[Code]])-1),LeaversJoiners[[#This Row],[Code]])</f>
        <v xml:space="preserve">TARKM.IS </v>
      </c>
    </row>
    <row r="137" spans="1:6" x14ac:dyDescent="0.25">
      <c r="A137" t="s">
        <v>4</v>
      </c>
      <c r="B137" t="s">
        <v>240</v>
      </c>
      <c r="C137" t="s">
        <v>241</v>
      </c>
      <c r="D137" s="2">
        <v>45176</v>
      </c>
      <c r="E137">
        <f>IF(RIGHT(LeaversJoiners[[#This Row],[Code]],1)=")",1,0)</f>
        <v>0</v>
      </c>
      <c r="F137" t="str">
        <f>IF(LeaversJoiners[[#This Row],[Sütun1]]=1,LEFT(LeaversJoiners[[#This Row],[Code]],FIND("^",LeaversJoiners[[#This Row],[Code]])-1),LeaversJoiners[[#This Row],[Code]])</f>
        <v xml:space="preserve">EBEBK.IS </v>
      </c>
    </row>
    <row r="138" spans="1:6" x14ac:dyDescent="0.25">
      <c r="A138" t="s">
        <v>4</v>
      </c>
      <c r="B138" t="s">
        <v>242</v>
      </c>
      <c r="C138" t="s">
        <v>243</v>
      </c>
      <c r="D138" s="2">
        <v>45167</v>
      </c>
      <c r="E138">
        <f>IF(RIGHT(LeaversJoiners[[#This Row],[Code]],1)=")",1,0)</f>
        <v>0</v>
      </c>
      <c r="F138" t="str">
        <f>IF(LeaversJoiners[[#This Row],[Sütun1]]=1,LEFT(LeaversJoiners[[#This Row],[Code]],FIND("^",LeaversJoiners[[#This Row],[Code]])-1),LeaversJoiners[[#This Row],[Code]])</f>
        <v xml:space="preserve">KZGYO.IS </v>
      </c>
    </row>
    <row r="139" spans="1:6" x14ac:dyDescent="0.25">
      <c r="A139" t="s">
        <v>4</v>
      </c>
      <c r="B139" t="s">
        <v>244</v>
      </c>
      <c r="C139" t="s">
        <v>245</v>
      </c>
      <c r="D139" s="2">
        <v>45161</v>
      </c>
      <c r="E139">
        <f>IF(RIGHT(LeaversJoiners[[#This Row],[Code]],1)=")",1,0)</f>
        <v>0</v>
      </c>
      <c r="F139" t="str">
        <f>IF(LeaversJoiners[[#This Row],[Sütun1]]=1,LEFT(LeaversJoiners[[#This Row],[Code]],FIND("^",LeaversJoiners[[#This Row],[Code]])-1),LeaversJoiners[[#This Row],[Code]])</f>
        <v xml:space="preserve">ENERY.IS </v>
      </c>
    </row>
    <row r="140" spans="1:6" x14ac:dyDescent="0.25">
      <c r="A140" t="s">
        <v>4</v>
      </c>
      <c r="B140" t="s">
        <v>246</v>
      </c>
      <c r="C140" t="s">
        <v>247</v>
      </c>
      <c r="D140" s="2">
        <v>45159</v>
      </c>
      <c r="E140">
        <f>IF(RIGHT(LeaversJoiners[[#This Row],[Code]],1)=")",1,0)</f>
        <v>0</v>
      </c>
      <c r="F140" t="str">
        <f>IF(LeaversJoiners[[#This Row],[Sütun1]]=1,LEFT(LeaversJoiners[[#This Row],[Code]],FIND("^",LeaversJoiners[[#This Row],[Code]])-1),LeaversJoiners[[#This Row],[Code]])</f>
        <v xml:space="preserve">BYDNR.IS </v>
      </c>
    </row>
    <row r="141" spans="1:6" x14ac:dyDescent="0.25">
      <c r="A141" t="s">
        <v>4</v>
      </c>
      <c r="B141" t="s">
        <v>248</v>
      </c>
      <c r="C141" t="s">
        <v>249</v>
      </c>
      <c r="D141" s="2">
        <v>45155</v>
      </c>
      <c r="E141">
        <f>IF(RIGHT(LeaversJoiners[[#This Row],[Code]],1)=")",1,0)</f>
        <v>0</v>
      </c>
      <c r="F141" t="str">
        <f>IF(LeaversJoiners[[#This Row],[Sütun1]]=1,LEFT(LeaversJoiners[[#This Row],[Code]],FIND("^",LeaversJoiners[[#This Row],[Code]])-1),LeaversJoiners[[#This Row],[Code]])</f>
        <v xml:space="preserve">TATEN.IS </v>
      </c>
    </row>
    <row r="142" spans="1:6" x14ac:dyDescent="0.25">
      <c r="A142" t="s">
        <v>4</v>
      </c>
      <c r="B142" t="s">
        <v>250</v>
      </c>
      <c r="C142" t="s">
        <v>251</v>
      </c>
      <c r="D142" s="2">
        <v>45154</v>
      </c>
      <c r="E142">
        <f>IF(RIGHT(LeaversJoiners[[#This Row],[Code]],1)=")",1,0)</f>
        <v>0</v>
      </c>
      <c r="F142" t="str">
        <f>IF(LeaversJoiners[[#This Row],[Sütun1]]=1,LEFT(LeaversJoiners[[#This Row],[Code]],FIND("^",LeaversJoiners[[#This Row],[Code]])-1),LeaversJoiners[[#This Row],[Code]])</f>
        <v xml:space="preserve">IZENR.IS </v>
      </c>
    </row>
    <row r="143" spans="1:6" x14ac:dyDescent="0.25">
      <c r="A143" t="s">
        <v>4</v>
      </c>
      <c r="B143" t="s">
        <v>252</v>
      </c>
      <c r="C143" t="s">
        <v>253</v>
      </c>
      <c r="D143" s="2">
        <v>45154</v>
      </c>
      <c r="E143">
        <f>IF(RIGHT(LeaversJoiners[[#This Row],[Code]],1)=")",1,0)</f>
        <v>0</v>
      </c>
      <c r="F143" t="str">
        <f>IF(LeaversJoiners[[#This Row],[Sütun1]]=1,LEFT(LeaversJoiners[[#This Row],[Code]],FIND("^",LeaversJoiners[[#This Row],[Code]])-1),LeaversJoiners[[#This Row],[Code]])</f>
        <v xml:space="preserve">OFSYM.IS </v>
      </c>
    </row>
    <row r="144" spans="1:6" x14ac:dyDescent="0.25">
      <c r="A144" t="s">
        <v>4</v>
      </c>
      <c r="B144" t="s">
        <v>254</v>
      </c>
      <c r="C144" t="s">
        <v>255</v>
      </c>
      <c r="D144" s="2">
        <v>45141</v>
      </c>
      <c r="E144">
        <f>IF(RIGHT(LeaversJoiners[[#This Row],[Code]],1)=")",1,0)</f>
        <v>0</v>
      </c>
      <c r="F144" t="str">
        <f>IF(LeaversJoiners[[#This Row],[Sütun1]]=1,LEFT(LeaversJoiners[[#This Row],[Code]],FIND("^",LeaversJoiners[[#This Row],[Code]])-1),LeaversJoiners[[#This Row],[Code]])</f>
        <v xml:space="preserve">ASGYO.IS </v>
      </c>
    </row>
    <row r="145" spans="1:6" x14ac:dyDescent="0.25">
      <c r="A145" t="s">
        <v>4</v>
      </c>
      <c r="B145" t="s">
        <v>256</v>
      </c>
      <c r="C145" t="s">
        <v>257</v>
      </c>
      <c r="D145" s="2">
        <v>45135</v>
      </c>
      <c r="E145">
        <f>IF(RIGHT(LeaversJoiners[[#This Row],[Code]],1)=")",1,0)</f>
        <v>0</v>
      </c>
      <c r="F145" t="str">
        <f>IF(LeaversJoiners[[#This Row],[Sütun1]]=1,LEFT(LeaversJoiners[[#This Row],[Code]],FIND("^",LeaversJoiners[[#This Row],[Code]])-1),LeaversJoiners[[#This Row],[Code]])</f>
        <v xml:space="preserve">FZLGY.IS </v>
      </c>
    </row>
    <row r="146" spans="1:6" x14ac:dyDescent="0.25">
      <c r="A146" t="s">
        <v>4</v>
      </c>
      <c r="B146" t="s">
        <v>258</v>
      </c>
      <c r="C146" t="s">
        <v>259</v>
      </c>
      <c r="D146" s="2">
        <v>45134</v>
      </c>
      <c r="E146">
        <f>IF(RIGHT(LeaversJoiners[[#This Row],[Code]],1)=")",1,0)</f>
        <v>0</v>
      </c>
      <c r="F146" t="str">
        <f>IF(LeaversJoiners[[#This Row],[Sütun1]]=1,LEFT(LeaversJoiners[[#This Row],[Code]],FIND("^",LeaversJoiners[[#This Row],[Code]])-1),LeaversJoiners[[#This Row],[Code]])</f>
        <v xml:space="preserve">ATAKP.IS </v>
      </c>
    </row>
    <row r="147" spans="1:6" x14ac:dyDescent="0.25">
      <c r="A147" t="s">
        <v>4</v>
      </c>
      <c r="B147" t="s">
        <v>260</v>
      </c>
      <c r="C147" t="s">
        <v>261</v>
      </c>
      <c r="D147" s="2">
        <v>45134</v>
      </c>
      <c r="E147">
        <f>IF(RIGHT(LeaversJoiners[[#This Row],[Code]],1)=")",1,0)</f>
        <v>0</v>
      </c>
      <c r="F147" t="str">
        <f>IF(LeaversJoiners[[#This Row],[Sütun1]]=1,LEFT(LeaversJoiners[[#This Row],[Code]],FIND("^",LeaversJoiners[[#This Row],[Code]])-1),LeaversJoiners[[#This Row],[Code]])</f>
        <v xml:space="preserve">KLSER.IS </v>
      </c>
    </row>
    <row r="148" spans="1:6" x14ac:dyDescent="0.25">
      <c r="A148" t="s">
        <v>4</v>
      </c>
      <c r="B148" t="s">
        <v>262</v>
      </c>
      <c r="C148" t="s">
        <v>263</v>
      </c>
      <c r="D148" s="2">
        <v>45092</v>
      </c>
      <c r="E148">
        <f>IF(RIGHT(LeaversJoiners[[#This Row],[Code]],1)=")",1,0)</f>
        <v>0</v>
      </c>
      <c r="F148" t="str">
        <f>IF(LeaversJoiners[[#This Row],[Sütun1]]=1,LEFT(LeaversJoiners[[#This Row],[Code]],FIND("^",LeaversJoiners[[#This Row],[Code]])-1),LeaversJoiners[[#This Row],[Code]])</f>
        <v xml:space="preserve">A1CAP.IS </v>
      </c>
    </row>
    <row r="149" spans="1:6" x14ac:dyDescent="0.25">
      <c r="A149" t="s">
        <v>4</v>
      </c>
      <c r="B149" t="s">
        <v>264</v>
      </c>
      <c r="C149" t="s">
        <v>265</v>
      </c>
      <c r="D149" s="2">
        <v>45091</v>
      </c>
      <c r="E149">
        <f>IF(RIGHT(LeaversJoiners[[#This Row],[Code]],1)=")",1,0)</f>
        <v>0</v>
      </c>
      <c r="F149" t="str">
        <f>IF(LeaversJoiners[[#This Row],[Sütun1]]=1,LEFT(LeaversJoiners[[#This Row],[Code]],FIND("^",LeaversJoiners[[#This Row],[Code]])-1),LeaversJoiners[[#This Row],[Code]])</f>
        <v xml:space="preserve">FORTE.IS </v>
      </c>
    </row>
    <row r="150" spans="1:6" x14ac:dyDescent="0.25">
      <c r="A150" t="s">
        <v>4</v>
      </c>
      <c r="B150" t="s">
        <v>266</v>
      </c>
      <c r="C150" t="s">
        <v>267</v>
      </c>
      <c r="D150" s="2">
        <v>45091</v>
      </c>
      <c r="E150">
        <f>IF(RIGHT(LeaversJoiners[[#This Row],[Code]],1)=")",1,0)</f>
        <v>0</v>
      </c>
      <c r="F150" t="str">
        <f>IF(LeaversJoiners[[#This Row],[Sütun1]]=1,LEFT(LeaversJoiners[[#This Row],[Code]],FIND("^",LeaversJoiners[[#This Row],[Code]])-1),LeaversJoiners[[#This Row],[Code]])</f>
        <v xml:space="preserve">PASEU.IS </v>
      </c>
    </row>
    <row r="151" spans="1:6" x14ac:dyDescent="0.25">
      <c r="A151" t="s">
        <v>4</v>
      </c>
      <c r="B151" t="s">
        <v>268</v>
      </c>
      <c r="C151" t="s">
        <v>269</v>
      </c>
      <c r="D151" s="2">
        <v>45089</v>
      </c>
      <c r="E151">
        <f>IF(RIGHT(LeaversJoiners[[#This Row],[Code]],1)=")",1,0)</f>
        <v>0</v>
      </c>
      <c r="F151" t="str">
        <f>IF(LeaversJoiners[[#This Row],[Sütun1]]=1,LEFT(LeaversJoiners[[#This Row],[Code]],FIND("^",LeaversJoiners[[#This Row],[Code]])-1),LeaversJoiners[[#This Row],[Code]])</f>
        <v xml:space="preserve">KTLEV.IS </v>
      </c>
    </row>
    <row r="152" spans="1:6" x14ac:dyDescent="0.25">
      <c r="A152" t="s">
        <v>4</v>
      </c>
      <c r="B152" t="s">
        <v>270</v>
      </c>
      <c r="C152" t="s">
        <v>271</v>
      </c>
      <c r="D152" s="2">
        <v>45070</v>
      </c>
      <c r="E152">
        <f>IF(RIGHT(LeaversJoiners[[#This Row],[Code]],1)=")",1,0)</f>
        <v>0</v>
      </c>
      <c r="F152" t="str">
        <f>IF(LeaversJoiners[[#This Row],[Sütun1]]=1,LEFT(LeaversJoiners[[#This Row],[Code]],FIND("^",LeaversJoiners[[#This Row],[Code]])-1),LeaversJoiners[[#This Row],[Code]])</f>
        <v xml:space="preserve">MARKA.IS </v>
      </c>
    </row>
    <row r="153" spans="1:6" x14ac:dyDescent="0.25">
      <c r="A153" t="s">
        <v>4</v>
      </c>
      <c r="B153" t="s">
        <v>272</v>
      </c>
      <c r="C153" t="s">
        <v>273</v>
      </c>
      <c r="D153" s="2">
        <v>45064</v>
      </c>
      <c r="E153">
        <f>IF(RIGHT(LeaversJoiners[[#This Row],[Code]],1)=")",1,0)</f>
        <v>0</v>
      </c>
      <c r="F153" t="str">
        <f>IF(LeaversJoiners[[#This Row],[Sütun1]]=1,LEFT(LeaversJoiners[[#This Row],[Code]],FIND("^",LeaversJoiners[[#This Row],[Code]])-1),LeaversJoiners[[#This Row],[Code]])</f>
        <v xml:space="preserve">BIENY.IS </v>
      </c>
    </row>
    <row r="154" spans="1:6" x14ac:dyDescent="0.25">
      <c r="A154" t="s">
        <v>4</v>
      </c>
      <c r="B154" t="s">
        <v>274</v>
      </c>
      <c r="C154" t="s">
        <v>275</v>
      </c>
      <c r="D154" s="2">
        <v>45064</v>
      </c>
      <c r="E154">
        <f>IF(RIGHT(LeaversJoiners[[#This Row],[Code]],1)=")",1,0)</f>
        <v>0</v>
      </c>
      <c r="F154" t="str">
        <f>IF(LeaversJoiners[[#This Row],[Sütun1]]=1,LEFT(LeaversJoiners[[#This Row],[Code]],FIND("^",LeaversJoiners[[#This Row],[Code]])-1),LeaversJoiners[[#This Row],[Code]])</f>
        <v xml:space="preserve">KAYSE.IS </v>
      </c>
    </row>
    <row r="155" spans="1:6" x14ac:dyDescent="0.25">
      <c r="A155" t="s">
        <v>4</v>
      </c>
      <c r="B155" t="s">
        <v>276</v>
      </c>
      <c r="C155" t="s">
        <v>277</v>
      </c>
      <c r="D155" s="2">
        <v>45056</v>
      </c>
      <c r="E155">
        <f>IF(RIGHT(LeaversJoiners[[#This Row],[Code]],1)=")",1,0)</f>
        <v>0</v>
      </c>
      <c r="F155" t="str">
        <f>IF(LeaversJoiners[[#This Row],[Sütun1]]=1,LEFT(LeaversJoiners[[#This Row],[Code]],FIND("^",LeaversJoiners[[#This Row],[Code]])-1),LeaversJoiners[[#This Row],[Code]])</f>
        <v xml:space="preserve">BIGCH.IS </v>
      </c>
    </row>
    <row r="156" spans="1:6" x14ac:dyDescent="0.25">
      <c r="A156" t="s">
        <v>4</v>
      </c>
      <c r="B156" t="s">
        <v>278</v>
      </c>
      <c r="C156" t="s">
        <v>279</v>
      </c>
      <c r="D156" s="2">
        <v>45051</v>
      </c>
      <c r="E156">
        <f>IF(RIGHT(LeaversJoiners[[#This Row],[Code]],1)=")",1,0)</f>
        <v>0</v>
      </c>
      <c r="F156" t="str">
        <f>IF(LeaversJoiners[[#This Row],[Sütun1]]=1,LEFT(LeaversJoiners[[#This Row],[Code]],FIND("^",LeaversJoiners[[#This Row],[Code]])-1),LeaversJoiners[[#This Row],[Code]])</f>
        <v xml:space="preserve">CWENE.IS </v>
      </c>
    </row>
    <row r="157" spans="1:6" x14ac:dyDescent="0.25">
      <c r="A157" t="s">
        <v>4</v>
      </c>
      <c r="B157" t="s">
        <v>280</v>
      </c>
      <c r="C157" t="s">
        <v>281</v>
      </c>
      <c r="D157" s="2">
        <v>45042</v>
      </c>
      <c r="E157">
        <f>IF(RIGHT(LeaversJoiners[[#This Row],[Code]],1)=")",1,0)</f>
        <v>0</v>
      </c>
      <c r="F157" t="str">
        <f>IF(LeaversJoiners[[#This Row],[Sütun1]]=1,LEFT(LeaversJoiners[[#This Row],[Code]],FIND("^",LeaversJoiners[[#This Row],[Code]])-1),LeaversJoiners[[#This Row],[Code]])</f>
        <v xml:space="preserve">GRTHO.IS </v>
      </c>
    </row>
    <row r="158" spans="1:6" x14ac:dyDescent="0.25">
      <c r="A158" t="s">
        <v>29</v>
      </c>
      <c r="B158" t="s">
        <v>270</v>
      </c>
      <c r="C158" t="s">
        <v>271</v>
      </c>
      <c r="D158" s="2">
        <v>45041</v>
      </c>
      <c r="E158">
        <f>IF(RIGHT(LeaversJoiners[[#This Row],[Code]],1)=")",1,0)</f>
        <v>0</v>
      </c>
      <c r="F158" t="str">
        <f>IF(LeaversJoiners[[#This Row],[Sütun1]]=1,LEFT(LeaversJoiners[[#This Row],[Code]],FIND("^",LeaversJoiners[[#This Row],[Code]])-1),LeaversJoiners[[#This Row],[Code]])</f>
        <v xml:space="preserve">MARKA.IS </v>
      </c>
    </row>
    <row r="159" spans="1:6" x14ac:dyDescent="0.25">
      <c r="A159" t="s">
        <v>4</v>
      </c>
      <c r="B159" t="s">
        <v>282</v>
      </c>
      <c r="C159" t="s">
        <v>283</v>
      </c>
      <c r="D159" s="2">
        <v>45036</v>
      </c>
      <c r="E159">
        <f>IF(RIGHT(LeaversJoiners[[#This Row],[Code]],1)=")",1,0)</f>
        <v>0</v>
      </c>
      <c r="F159" t="str">
        <f>IF(LeaversJoiners[[#This Row],[Sütun1]]=1,LEFT(LeaversJoiners[[#This Row],[Code]],FIND("^",LeaversJoiners[[#This Row],[Code]])-1),LeaversJoiners[[#This Row],[Code]])</f>
        <v xml:space="preserve">EUPWR.IS </v>
      </c>
    </row>
    <row r="160" spans="1:6" x14ac:dyDescent="0.25">
      <c r="A160" t="s">
        <v>4</v>
      </c>
      <c r="B160" t="s">
        <v>284</v>
      </c>
      <c r="C160" t="s">
        <v>285</v>
      </c>
      <c r="D160" s="2">
        <v>45035</v>
      </c>
      <c r="E160">
        <f>IF(RIGHT(LeaversJoiners[[#This Row],[Code]],1)=")",1,0)</f>
        <v>0</v>
      </c>
      <c r="F160" t="str">
        <f>IF(LeaversJoiners[[#This Row],[Sütun1]]=1,LEFT(LeaversJoiners[[#This Row],[Code]],FIND("^",LeaversJoiners[[#This Row],[Code]])-1),LeaversJoiners[[#This Row],[Code]])</f>
        <v xml:space="preserve">RUZYE.IS </v>
      </c>
    </row>
    <row r="161" spans="1:6" x14ac:dyDescent="0.25">
      <c r="A161" t="s">
        <v>4</v>
      </c>
      <c r="B161" t="s">
        <v>286</v>
      </c>
      <c r="C161" t="s">
        <v>287</v>
      </c>
      <c r="D161" s="2">
        <v>45029</v>
      </c>
      <c r="E161">
        <f>IF(RIGHT(LeaversJoiners[[#This Row],[Code]],1)=")",1,0)</f>
        <v>0</v>
      </c>
      <c r="F161" t="str">
        <f>IF(LeaversJoiners[[#This Row],[Sütun1]]=1,LEFT(LeaversJoiners[[#This Row],[Code]],FIND("^",LeaversJoiners[[#This Row],[Code]])-1),LeaversJoiners[[#This Row],[Code]])</f>
        <v xml:space="preserve">CVKMD.IS </v>
      </c>
    </row>
    <row r="162" spans="1:6" x14ac:dyDescent="0.25">
      <c r="A162" t="s">
        <v>4</v>
      </c>
      <c r="B162" t="s">
        <v>288</v>
      </c>
      <c r="C162" t="s">
        <v>289</v>
      </c>
      <c r="D162" s="2">
        <v>45029</v>
      </c>
      <c r="E162">
        <f>IF(RIGHT(LeaversJoiners[[#This Row],[Code]],1)=")",1,0)</f>
        <v>0</v>
      </c>
      <c r="F162" t="str">
        <f>IF(LeaversJoiners[[#This Row],[Sütun1]]=1,LEFT(LeaversJoiners[[#This Row],[Code]],FIND("^",LeaversJoiners[[#This Row],[Code]])-1),LeaversJoiners[[#This Row],[Code]])</f>
        <v xml:space="preserve">KOPOL.IS </v>
      </c>
    </row>
    <row r="163" spans="1:6" x14ac:dyDescent="0.25">
      <c r="A163" t="s">
        <v>4</v>
      </c>
      <c r="B163" t="s">
        <v>290</v>
      </c>
      <c r="C163" t="s">
        <v>291</v>
      </c>
      <c r="D163" s="2">
        <v>45022</v>
      </c>
      <c r="E163">
        <f>IF(RIGHT(LeaversJoiners[[#This Row],[Code]],1)=")",1,0)</f>
        <v>0</v>
      </c>
      <c r="F163" t="str">
        <f>IF(LeaversJoiners[[#This Row],[Sütun1]]=1,LEFT(LeaversJoiners[[#This Row],[Code]],FIND("^",LeaversJoiners[[#This Row],[Code]])-1),LeaversJoiners[[#This Row],[Code]])</f>
        <v xml:space="preserve">COSMO.IS </v>
      </c>
    </row>
    <row r="164" spans="1:6" x14ac:dyDescent="0.25">
      <c r="A164" t="s">
        <v>4</v>
      </c>
      <c r="B164" t="s">
        <v>292</v>
      </c>
      <c r="C164" t="s">
        <v>293</v>
      </c>
      <c r="D164" s="2">
        <v>45020</v>
      </c>
      <c r="E164">
        <f>IF(RIGHT(LeaversJoiners[[#This Row],[Code]],1)=")",1,0)</f>
        <v>0</v>
      </c>
      <c r="F164" t="str">
        <f>IF(LeaversJoiners[[#This Row],[Sütun1]]=1,LEFT(LeaversJoiners[[#This Row],[Code]],FIND("^",LeaversJoiners[[#This Row],[Code]])-1),LeaversJoiners[[#This Row],[Code]])</f>
        <v xml:space="preserve">ALFAS.IS </v>
      </c>
    </row>
    <row r="165" spans="1:6" x14ac:dyDescent="0.25">
      <c r="A165" t="s">
        <v>4</v>
      </c>
      <c r="B165" t="s">
        <v>294</v>
      </c>
      <c r="C165" t="s">
        <v>295</v>
      </c>
      <c r="D165" s="2">
        <v>45014</v>
      </c>
      <c r="E165">
        <f>IF(RIGHT(LeaversJoiners[[#This Row],[Code]],1)=")",1,0)</f>
        <v>0</v>
      </c>
      <c r="F165" t="str">
        <f>IF(LeaversJoiners[[#This Row],[Sütun1]]=1,LEFT(LeaversJoiners[[#This Row],[Code]],FIND("^",LeaversJoiners[[#This Row],[Code]])-1),LeaversJoiners[[#This Row],[Code]])</f>
        <v xml:space="preserve">ZEDUR.IS </v>
      </c>
    </row>
    <row r="166" spans="1:6" x14ac:dyDescent="0.25">
      <c r="A166" t="s">
        <v>4</v>
      </c>
      <c r="B166" t="s">
        <v>296</v>
      </c>
      <c r="C166" t="s">
        <v>297</v>
      </c>
      <c r="D166" s="2">
        <v>45009</v>
      </c>
      <c r="E166">
        <f>IF(RIGHT(LeaversJoiners[[#This Row],[Code]],1)=")",1,0)</f>
        <v>0</v>
      </c>
      <c r="F166" t="str">
        <f>IF(LeaversJoiners[[#This Row],[Sütun1]]=1,LEFT(LeaversJoiners[[#This Row],[Code]],FIND("^",LeaversJoiners[[#This Row],[Code]])-1),LeaversJoiners[[#This Row],[Code]])</f>
        <v xml:space="preserve">EKSUN.IS </v>
      </c>
    </row>
    <row r="167" spans="1:6" x14ac:dyDescent="0.25">
      <c r="A167" t="s">
        <v>4</v>
      </c>
      <c r="B167" t="s">
        <v>298</v>
      </c>
      <c r="C167" t="s">
        <v>299</v>
      </c>
      <c r="D167" s="2">
        <v>45001</v>
      </c>
      <c r="E167">
        <f>IF(RIGHT(LeaversJoiners[[#This Row],[Code]],1)=")",1,0)</f>
        <v>0</v>
      </c>
      <c r="F167" t="str">
        <f>IF(LeaversJoiners[[#This Row],[Sütun1]]=1,LEFT(LeaversJoiners[[#This Row],[Code]],FIND("^",LeaversJoiners[[#This Row],[Code]])-1),LeaversJoiners[[#This Row],[Code]])</f>
        <v xml:space="preserve">AKFYE.IS </v>
      </c>
    </row>
    <row r="168" spans="1:6" x14ac:dyDescent="0.25">
      <c r="A168" t="s">
        <v>4</v>
      </c>
      <c r="B168" t="s">
        <v>300</v>
      </c>
      <c r="C168" t="s">
        <v>301</v>
      </c>
      <c r="D168" s="2">
        <v>44994</v>
      </c>
      <c r="E168">
        <f>IF(RIGHT(LeaversJoiners[[#This Row],[Code]],1)=")",1,0)</f>
        <v>0</v>
      </c>
      <c r="F168" t="str">
        <f>IF(LeaversJoiners[[#This Row],[Sütun1]]=1,LEFT(LeaversJoiners[[#This Row],[Code]],FIND("^",LeaversJoiners[[#This Row],[Code]])-1),LeaversJoiners[[#This Row],[Code]])</f>
        <v xml:space="preserve">GOKNR.IS </v>
      </c>
    </row>
    <row r="169" spans="1:6" x14ac:dyDescent="0.25">
      <c r="A169" t="s">
        <v>4</v>
      </c>
      <c r="B169" t="s">
        <v>302</v>
      </c>
      <c r="C169" t="s">
        <v>303</v>
      </c>
      <c r="D169" s="2">
        <v>44963</v>
      </c>
      <c r="E169">
        <f>IF(RIGHT(LeaversJoiners[[#This Row],[Code]],1)=")",1,0)</f>
        <v>0</v>
      </c>
      <c r="F169" t="str">
        <f>IF(LeaversJoiners[[#This Row],[Sütun1]]=1,LEFT(LeaversJoiners[[#This Row],[Code]],FIND("^",LeaversJoiners[[#This Row],[Code]])-1),LeaversJoiners[[#This Row],[Code]])</f>
        <v xml:space="preserve">BVSAN.IS </v>
      </c>
    </row>
    <row r="170" spans="1:6" x14ac:dyDescent="0.25">
      <c r="A170" t="s">
        <v>4</v>
      </c>
      <c r="B170" t="s">
        <v>304</v>
      </c>
      <c r="C170" t="s">
        <v>305</v>
      </c>
      <c r="D170" s="2">
        <v>44952</v>
      </c>
      <c r="E170">
        <f>IF(RIGHT(LeaversJoiners[[#This Row],[Code]],1)=")",1,0)</f>
        <v>0</v>
      </c>
      <c r="F170" t="str">
        <f>IF(LeaversJoiners[[#This Row],[Sütun1]]=1,LEFT(LeaversJoiners[[#This Row],[Code]],FIND("^",LeaversJoiners[[#This Row],[Code]])-1),LeaversJoiners[[#This Row],[Code]])</f>
        <v xml:space="preserve">MACKO.IS </v>
      </c>
    </row>
    <row r="171" spans="1:6" x14ac:dyDescent="0.25">
      <c r="A171" t="s">
        <v>4</v>
      </c>
      <c r="B171" t="s">
        <v>306</v>
      </c>
      <c r="C171" t="s">
        <v>307</v>
      </c>
      <c r="D171" s="2">
        <v>44944</v>
      </c>
      <c r="E171">
        <f>IF(RIGHT(LeaversJoiners[[#This Row],[Code]],1)=")",1,0)</f>
        <v>0</v>
      </c>
      <c r="F171" t="str">
        <f>IF(LeaversJoiners[[#This Row],[Sütun1]]=1,LEFT(LeaversJoiners[[#This Row],[Code]],FIND("^",LeaversJoiners[[#This Row],[Code]])-1),LeaversJoiners[[#This Row],[Code]])</f>
        <v xml:space="preserve">ASTOR.IS </v>
      </c>
    </row>
    <row r="172" spans="1:6" x14ac:dyDescent="0.25">
      <c r="A172" t="s">
        <v>4</v>
      </c>
      <c r="B172" t="s">
        <v>308</v>
      </c>
      <c r="C172" t="s">
        <v>309</v>
      </c>
      <c r="D172" s="2">
        <v>44938</v>
      </c>
      <c r="E172">
        <f>IF(RIGHT(LeaversJoiners[[#This Row],[Code]],1)=")",1,0)</f>
        <v>0</v>
      </c>
      <c r="F172" t="str">
        <f>IF(LeaversJoiners[[#This Row],[Sütun1]]=1,LEFT(LeaversJoiners[[#This Row],[Code]],FIND("^",LeaversJoiners[[#This Row],[Code]])-1),LeaversJoiners[[#This Row],[Code]])</f>
        <v xml:space="preserve">SOKE.IS </v>
      </c>
    </row>
    <row r="173" spans="1:6" x14ac:dyDescent="0.25">
      <c r="A173" t="s">
        <v>4</v>
      </c>
      <c r="B173" t="s">
        <v>310</v>
      </c>
      <c r="C173" t="s">
        <v>311</v>
      </c>
      <c r="D173" s="2">
        <v>44937</v>
      </c>
      <c r="E173">
        <f>IF(RIGHT(LeaversJoiners[[#This Row],[Code]],1)=")",1,0)</f>
        <v>0</v>
      </c>
      <c r="F173" t="str">
        <f>IF(LeaversJoiners[[#This Row],[Sütun1]]=1,LEFT(LeaversJoiners[[#This Row],[Code]],FIND("^",LeaversJoiners[[#This Row],[Code]])-1),LeaversJoiners[[#This Row],[Code]])</f>
        <v xml:space="preserve">TNZTP.IS </v>
      </c>
    </row>
    <row r="174" spans="1:6" x14ac:dyDescent="0.25">
      <c r="A174" t="s">
        <v>4</v>
      </c>
      <c r="B174" t="s">
        <v>312</v>
      </c>
      <c r="C174" t="s">
        <v>313</v>
      </c>
      <c r="D174" s="2">
        <v>44930</v>
      </c>
      <c r="E174">
        <f>IF(RIGHT(LeaversJoiners[[#This Row],[Code]],1)=")",1,0)</f>
        <v>0</v>
      </c>
      <c r="F174" t="str">
        <f>IF(LeaversJoiners[[#This Row],[Sütun1]]=1,LEFT(LeaversJoiners[[#This Row],[Code]],FIND("^",LeaversJoiners[[#This Row],[Code]])-1),LeaversJoiners[[#This Row],[Code]])</f>
        <v xml:space="preserve">ONCSM.IS </v>
      </c>
    </row>
    <row r="175" spans="1:6" x14ac:dyDescent="0.25">
      <c r="A175" t="s">
        <v>4</v>
      </c>
      <c r="B175" t="s">
        <v>314</v>
      </c>
      <c r="C175" t="s">
        <v>315</v>
      </c>
      <c r="D175" s="2">
        <v>44930</v>
      </c>
      <c r="E175">
        <f>IF(RIGHT(LeaversJoiners[[#This Row],[Code]],1)=")",1,0)</f>
        <v>0</v>
      </c>
      <c r="F175" t="str">
        <f>IF(LeaversJoiners[[#This Row],[Sütun1]]=1,LEFT(LeaversJoiners[[#This Row],[Code]],FIND("^",LeaversJoiners[[#This Row],[Code]])-1),LeaversJoiners[[#This Row],[Code]])</f>
        <v xml:space="preserve">SDTTR.IS </v>
      </c>
    </row>
    <row r="176" spans="1:6" x14ac:dyDescent="0.25">
      <c r="A176" t="s">
        <v>4</v>
      </c>
      <c r="B176" t="s">
        <v>316</v>
      </c>
      <c r="C176" t="s">
        <v>317</v>
      </c>
      <c r="D176" s="2">
        <v>44924</v>
      </c>
      <c r="E176">
        <f>IF(RIGHT(LeaversJoiners[[#This Row],[Code]],1)=")",1,0)</f>
        <v>0</v>
      </c>
      <c r="F176" t="str">
        <f>IF(LeaversJoiners[[#This Row],[Sütun1]]=1,LEFT(LeaversJoiners[[#This Row],[Code]],FIND("^",LeaversJoiners[[#This Row],[Code]])-1),LeaversJoiners[[#This Row],[Code]])</f>
        <v xml:space="preserve">EYGYO.IS </v>
      </c>
    </row>
    <row r="177" spans="1:6" x14ac:dyDescent="0.25">
      <c r="A177" t="s">
        <v>4</v>
      </c>
      <c r="B177" t="s">
        <v>318</v>
      </c>
      <c r="C177" t="s">
        <v>319</v>
      </c>
      <c r="D177" s="2">
        <v>44918</v>
      </c>
      <c r="E177">
        <f>IF(RIGHT(LeaversJoiners[[#This Row],[Code]],1)=")",1,0)</f>
        <v>0</v>
      </c>
      <c r="F177" t="str">
        <f>IF(LeaversJoiners[[#This Row],[Sütun1]]=1,LEFT(LeaversJoiners[[#This Row],[Code]],FIND("^",LeaversJoiners[[#This Row],[Code]])-1),LeaversJoiners[[#This Row],[Code]])</f>
        <v xml:space="preserve">TERA.IS </v>
      </c>
    </row>
    <row r="178" spans="1:6" x14ac:dyDescent="0.25">
      <c r="A178" t="s">
        <v>4</v>
      </c>
      <c r="B178" t="s">
        <v>320</v>
      </c>
      <c r="C178" t="s">
        <v>321</v>
      </c>
      <c r="D178" s="2">
        <v>44917</v>
      </c>
      <c r="E178">
        <f>IF(RIGHT(LeaversJoiners[[#This Row],[Code]],1)=")",1,0)</f>
        <v>0</v>
      </c>
      <c r="F178" t="str">
        <f>IF(LeaversJoiners[[#This Row],[Sütun1]]=1,LEFT(LeaversJoiners[[#This Row],[Code]],FIND("^",LeaversJoiners[[#This Row],[Code]])-1),LeaversJoiners[[#This Row],[Code]])</f>
        <v xml:space="preserve">AHGAZ.IS </v>
      </c>
    </row>
    <row r="179" spans="1:6" x14ac:dyDescent="0.25">
      <c r="A179" t="s">
        <v>4</v>
      </c>
      <c r="B179" t="s">
        <v>322</v>
      </c>
      <c r="C179" t="s">
        <v>323</v>
      </c>
      <c r="D179" s="2">
        <v>44910</v>
      </c>
      <c r="E179">
        <f>IF(RIGHT(LeaversJoiners[[#This Row],[Code]],1)=")",1,0)</f>
        <v>0</v>
      </c>
      <c r="F179" t="str">
        <f>IF(LeaversJoiners[[#This Row],[Sütun1]]=1,LEFT(LeaversJoiners[[#This Row],[Code]],FIND("^",LeaversJoiners[[#This Row],[Code]])-1),LeaversJoiners[[#This Row],[Code]])</f>
        <v xml:space="preserve">BRKVY.IS </v>
      </c>
    </row>
    <row r="180" spans="1:6" x14ac:dyDescent="0.25">
      <c r="A180" t="s">
        <v>4</v>
      </c>
      <c r="B180" t="s">
        <v>324</v>
      </c>
      <c r="C180" t="s">
        <v>325</v>
      </c>
      <c r="D180" s="2">
        <v>44909</v>
      </c>
      <c r="E180">
        <f>IF(RIGHT(LeaversJoiners[[#This Row],[Code]],1)=")",1,0)</f>
        <v>0</v>
      </c>
      <c r="F180" t="str">
        <f>IF(LeaversJoiners[[#This Row],[Sütun1]]=1,LEFT(LeaversJoiners[[#This Row],[Code]],FIND("^",LeaversJoiners[[#This Row],[Code]])-1),LeaversJoiners[[#This Row],[Code]])</f>
        <v xml:space="preserve">PLTUR.IS </v>
      </c>
    </row>
    <row r="181" spans="1:6" x14ac:dyDescent="0.25">
      <c r="A181" t="s">
        <v>4</v>
      </c>
      <c r="B181" t="s">
        <v>326</v>
      </c>
      <c r="C181" t="s">
        <v>327</v>
      </c>
      <c r="D181" s="2">
        <v>44894</v>
      </c>
      <c r="E181">
        <f>IF(RIGHT(LeaversJoiners[[#This Row],[Code]],1)=")",1,0)</f>
        <v>0</v>
      </c>
      <c r="F181" t="str">
        <f>IF(LeaversJoiners[[#This Row],[Sütun1]]=1,LEFT(LeaversJoiners[[#This Row],[Code]],FIND("^",LeaversJoiners[[#This Row],[Code]])-1),LeaversJoiners[[#This Row],[Code]])</f>
        <v xml:space="preserve">OZSUB.IS </v>
      </c>
    </row>
    <row r="182" spans="1:6" x14ac:dyDescent="0.25">
      <c r="A182" t="s">
        <v>4</v>
      </c>
      <c r="B182" t="s">
        <v>328</v>
      </c>
      <c r="C182" t="s">
        <v>329</v>
      </c>
      <c r="D182" s="2">
        <v>44889</v>
      </c>
      <c r="E182">
        <f>IF(RIGHT(LeaversJoiners[[#This Row],[Code]],1)=")",1,0)</f>
        <v>0</v>
      </c>
      <c r="F182" t="str">
        <f>IF(LeaversJoiners[[#This Row],[Sütun1]]=1,LEFT(LeaversJoiners[[#This Row],[Code]],FIND("^",LeaversJoiners[[#This Row],[Code]])-1),LeaversJoiners[[#This Row],[Code]])</f>
        <v xml:space="preserve">SNICA.IS </v>
      </c>
    </row>
    <row r="183" spans="1:6" x14ac:dyDescent="0.25">
      <c r="A183" t="s">
        <v>29</v>
      </c>
      <c r="B183" t="s">
        <v>330</v>
      </c>
      <c r="C183" t="s">
        <v>331</v>
      </c>
      <c r="D183" s="2">
        <v>44855</v>
      </c>
      <c r="E183">
        <f>IF(RIGHT(LeaversJoiners[[#This Row],[Code]],1)=")",1,0)</f>
        <v>1</v>
      </c>
      <c r="F183" t="str">
        <f>IF(LeaversJoiners[[#This Row],[Sütun1]]=1,LEFT(LeaversJoiners[[#This Row],[Code]],FIND("^",LeaversJoiners[[#This Row],[Code]])-1),LeaversJoiners[[#This Row],[Code]])</f>
        <v>OLMK.IS</v>
      </c>
    </row>
    <row r="184" spans="1:6" x14ac:dyDescent="0.25">
      <c r="A184" t="s">
        <v>4</v>
      </c>
      <c r="B184" t="s">
        <v>332</v>
      </c>
      <c r="C184" t="s">
        <v>333</v>
      </c>
      <c r="D184" s="2">
        <v>44791</v>
      </c>
      <c r="E184">
        <f>IF(RIGHT(LeaversJoiners[[#This Row],[Code]],1)=")",1,0)</f>
        <v>0</v>
      </c>
      <c r="F184" t="str">
        <f>IF(LeaversJoiners[[#This Row],[Sütun1]]=1,LEFT(LeaversJoiners[[#This Row],[Code]],FIND("^",LeaversJoiners[[#This Row],[Code]])-1),LeaversJoiners[[#This Row],[Code]])</f>
        <v xml:space="preserve">HKTM.IS </v>
      </c>
    </row>
    <row r="185" spans="1:6" x14ac:dyDescent="0.25">
      <c r="A185" t="s">
        <v>4</v>
      </c>
      <c r="B185" t="s">
        <v>334</v>
      </c>
      <c r="C185" t="s">
        <v>335</v>
      </c>
      <c r="D185" s="2">
        <v>44790</v>
      </c>
      <c r="E185">
        <f>IF(RIGHT(LeaversJoiners[[#This Row],[Code]],1)=")",1,0)</f>
        <v>0</v>
      </c>
      <c r="F185" t="str">
        <f>IF(LeaversJoiners[[#This Row],[Sütun1]]=1,LEFT(LeaversJoiners[[#This Row],[Code]],FIND("^",LeaversJoiners[[#This Row],[Code]])-1),LeaversJoiners[[#This Row],[Code]])</f>
        <v xml:space="preserve">AZTEK.IS </v>
      </c>
    </row>
    <row r="186" spans="1:6" x14ac:dyDescent="0.25">
      <c r="A186" t="s">
        <v>4</v>
      </c>
      <c r="B186" t="s">
        <v>336</v>
      </c>
      <c r="C186" t="s">
        <v>337</v>
      </c>
      <c r="D186" s="2">
        <v>44783</v>
      </c>
      <c r="E186">
        <f>IF(RIGHT(LeaversJoiners[[#This Row],[Code]],1)=")",1,0)</f>
        <v>0</v>
      </c>
      <c r="F186" t="str">
        <f>IF(LeaversJoiners[[#This Row],[Sütun1]]=1,LEFT(LeaversJoiners[[#This Row],[Code]],FIND("^",LeaversJoiners[[#This Row],[Code]])-1),LeaversJoiners[[#This Row],[Code]])</f>
        <v xml:space="preserve">BARMA.IS </v>
      </c>
    </row>
    <row r="187" spans="1:6" x14ac:dyDescent="0.25">
      <c r="A187" t="s">
        <v>4</v>
      </c>
      <c r="B187" t="s">
        <v>338</v>
      </c>
      <c r="C187" t="s">
        <v>339</v>
      </c>
      <c r="D187" s="2">
        <v>44776</v>
      </c>
      <c r="E187">
        <f>IF(RIGHT(LeaversJoiners[[#This Row],[Code]],1)=")",1,0)</f>
        <v>0</v>
      </c>
      <c r="F187" t="str">
        <f>IF(LeaversJoiners[[#This Row],[Sütun1]]=1,LEFT(LeaversJoiners[[#This Row],[Code]],FIND("^",LeaversJoiners[[#This Row],[Code]])-1),LeaversJoiners[[#This Row],[Code]])</f>
        <v xml:space="preserve">OBASE.IS </v>
      </c>
    </row>
    <row r="188" spans="1:6" x14ac:dyDescent="0.25">
      <c r="A188" t="s">
        <v>4</v>
      </c>
      <c r="B188" t="s">
        <v>340</v>
      </c>
      <c r="C188" t="s">
        <v>341</v>
      </c>
      <c r="D188" s="2">
        <v>44770</v>
      </c>
      <c r="E188">
        <f>IF(RIGHT(LeaversJoiners[[#This Row],[Code]],1)=")",1,0)</f>
        <v>0</v>
      </c>
      <c r="F188" t="str">
        <f>IF(LeaversJoiners[[#This Row],[Sütun1]]=1,LEFT(LeaversJoiners[[#This Row],[Code]],FIND("^",LeaversJoiners[[#This Row],[Code]])-1),LeaversJoiners[[#This Row],[Code]])</f>
        <v xml:space="preserve">KRPLS.IS </v>
      </c>
    </row>
    <row r="189" spans="1:6" x14ac:dyDescent="0.25">
      <c r="A189" t="s">
        <v>4</v>
      </c>
      <c r="B189" t="s">
        <v>342</v>
      </c>
      <c r="C189" t="s">
        <v>343</v>
      </c>
      <c r="D189" s="2">
        <v>44749</v>
      </c>
      <c r="E189">
        <f>IF(RIGHT(LeaversJoiners[[#This Row],[Code]],1)=")",1,0)</f>
        <v>0</v>
      </c>
      <c r="F189" t="str">
        <f>IF(LeaversJoiners[[#This Row],[Sütun1]]=1,LEFT(LeaversJoiners[[#This Row],[Code]],FIND("^",LeaversJoiners[[#This Row],[Code]])-1),LeaversJoiners[[#This Row],[Code]])</f>
        <v xml:space="preserve">KLRHO.IS </v>
      </c>
    </row>
    <row r="190" spans="1:6" x14ac:dyDescent="0.25">
      <c r="A190" t="s">
        <v>4</v>
      </c>
      <c r="B190" t="s">
        <v>344</v>
      </c>
      <c r="C190" t="s">
        <v>345</v>
      </c>
      <c r="D190" s="2">
        <v>44748</v>
      </c>
      <c r="E190">
        <f>IF(RIGHT(LeaversJoiners[[#This Row],[Code]],1)=")",1,0)</f>
        <v>0</v>
      </c>
      <c r="F190" t="str">
        <f>IF(LeaversJoiners[[#This Row],[Sütun1]]=1,LEFT(LeaversJoiners[[#This Row],[Code]],FIND("^",LeaversJoiners[[#This Row],[Code]])-1),LeaversJoiners[[#This Row],[Code]])</f>
        <v xml:space="preserve">RUBNS.IS </v>
      </c>
    </row>
    <row r="191" spans="1:6" x14ac:dyDescent="0.25">
      <c r="A191" t="s">
        <v>4</v>
      </c>
      <c r="B191" t="s">
        <v>346</v>
      </c>
      <c r="C191" t="s">
        <v>347</v>
      </c>
      <c r="D191" s="2">
        <v>44742</v>
      </c>
      <c r="E191">
        <f>IF(RIGHT(LeaversJoiners[[#This Row],[Code]],1)=")",1,0)</f>
        <v>0</v>
      </c>
      <c r="F191" t="str">
        <f>IF(LeaversJoiners[[#This Row],[Sütun1]]=1,LEFT(LeaversJoiners[[#This Row],[Code]],FIND("^",LeaversJoiners[[#This Row],[Code]])-1),LeaversJoiners[[#This Row],[Code]])</f>
        <v xml:space="preserve">KCAER.IS </v>
      </c>
    </row>
    <row r="192" spans="1:6" x14ac:dyDescent="0.25">
      <c r="A192" t="s">
        <v>4</v>
      </c>
      <c r="B192" t="s">
        <v>348</v>
      </c>
      <c r="C192" t="s">
        <v>349</v>
      </c>
      <c r="D192" s="2">
        <v>44729</v>
      </c>
      <c r="E192">
        <f>IF(RIGHT(LeaversJoiners[[#This Row],[Code]],1)=")",1,0)</f>
        <v>0</v>
      </c>
      <c r="F192" t="str">
        <f>IF(LeaversJoiners[[#This Row],[Sütun1]]=1,LEFT(LeaversJoiners[[#This Row],[Code]],FIND("^",LeaversJoiners[[#This Row],[Code]])-1),LeaversJoiners[[#This Row],[Code]])</f>
        <v xml:space="preserve">MAKIM.IS </v>
      </c>
    </row>
    <row r="193" spans="1:6" x14ac:dyDescent="0.25">
      <c r="A193" t="s">
        <v>4</v>
      </c>
      <c r="B193" t="s">
        <v>350</v>
      </c>
      <c r="C193" t="s">
        <v>351</v>
      </c>
      <c r="D193" s="2">
        <v>44727</v>
      </c>
      <c r="E193">
        <f>IF(RIGHT(LeaversJoiners[[#This Row],[Code]],1)=")",1,0)</f>
        <v>0</v>
      </c>
      <c r="F193" t="str">
        <f>IF(LeaversJoiners[[#This Row],[Sütun1]]=1,LEFT(LeaversJoiners[[#This Row],[Code]],FIND("^",LeaversJoiners[[#This Row],[Code]])-1),LeaversJoiners[[#This Row],[Code]])</f>
        <v xml:space="preserve">PRDGS.IS </v>
      </c>
    </row>
    <row r="194" spans="1:6" x14ac:dyDescent="0.25">
      <c r="A194" t="s">
        <v>4</v>
      </c>
      <c r="B194" t="s">
        <v>352</v>
      </c>
      <c r="C194" t="s">
        <v>353</v>
      </c>
      <c r="D194" s="2">
        <v>44720</v>
      </c>
      <c r="E194">
        <f>IF(RIGHT(LeaversJoiners[[#This Row],[Code]],1)=")",1,0)</f>
        <v>0</v>
      </c>
      <c r="F194" t="str">
        <f>IF(LeaversJoiners[[#This Row],[Sütun1]]=1,LEFT(LeaversJoiners[[#This Row],[Code]],FIND("^",LeaversJoiners[[#This Row],[Code]])-1),LeaversJoiners[[#This Row],[Code]])</f>
        <v xml:space="preserve">EUREN.IS </v>
      </c>
    </row>
    <row r="195" spans="1:6" x14ac:dyDescent="0.25">
      <c r="A195" t="s">
        <v>4</v>
      </c>
      <c r="B195" t="s">
        <v>354</v>
      </c>
      <c r="C195" t="s">
        <v>355</v>
      </c>
      <c r="D195" s="2">
        <v>44719</v>
      </c>
      <c r="E195">
        <f>IF(RIGHT(LeaversJoiners[[#This Row],[Code]],1)=")",1,0)</f>
        <v>0</v>
      </c>
      <c r="F195" t="str">
        <f>IF(LeaversJoiners[[#This Row],[Sütun1]]=1,LEFT(LeaversJoiners[[#This Row],[Code]],FIND("^",LeaversJoiners[[#This Row],[Code]])-1),LeaversJoiners[[#This Row],[Code]])</f>
        <v xml:space="preserve">SEGYO.IS </v>
      </c>
    </row>
    <row r="196" spans="1:6" x14ac:dyDescent="0.25">
      <c r="A196" t="s">
        <v>4</v>
      </c>
      <c r="B196" t="s">
        <v>356</v>
      </c>
      <c r="C196" t="s">
        <v>357</v>
      </c>
      <c r="D196" s="2">
        <v>44701</v>
      </c>
      <c r="E196">
        <f>IF(RIGHT(LeaversJoiners[[#This Row],[Code]],1)=")",1,0)</f>
        <v>0</v>
      </c>
      <c r="F196" t="str">
        <f>IF(LeaversJoiners[[#This Row],[Sütun1]]=1,LEFT(LeaversJoiners[[#This Row],[Code]],FIND("^",LeaversJoiners[[#This Row],[Code]])-1),LeaversJoiners[[#This Row],[Code]])</f>
        <v xml:space="preserve">SUNTK.IS </v>
      </c>
    </row>
    <row r="197" spans="1:6" x14ac:dyDescent="0.25">
      <c r="A197" t="s">
        <v>4</v>
      </c>
      <c r="B197" t="s">
        <v>358</v>
      </c>
      <c r="C197" t="s">
        <v>359</v>
      </c>
      <c r="D197" s="2">
        <v>44701</v>
      </c>
      <c r="E197">
        <f>IF(RIGHT(LeaversJoiners[[#This Row],[Code]],1)=")",1,0)</f>
        <v>0</v>
      </c>
      <c r="F197" t="str">
        <f>IF(LeaversJoiners[[#This Row],[Sütun1]]=1,LEFT(LeaversJoiners[[#This Row],[Code]],FIND("^",LeaversJoiners[[#This Row],[Code]])-1),LeaversJoiners[[#This Row],[Code]])</f>
        <v xml:space="preserve">YYLGD.IS </v>
      </c>
    </row>
    <row r="198" spans="1:6" x14ac:dyDescent="0.25">
      <c r="A198" t="s">
        <v>4</v>
      </c>
      <c r="B198" t="s">
        <v>360</v>
      </c>
      <c r="C198" t="s">
        <v>361</v>
      </c>
      <c r="D198" s="2">
        <v>44687</v>
      </c>
      <c r="E198">
        <f>IF(RIGHT(LeaversJoiners[[#This Row],[Code]],1)=")",1,0)</f>
        <v>0</v>
      </c>
      <c r="F198" t="str">
        <f>IF(LeaversJoiners[[#This Row],[Sütun1]]=1,LEFT(LeaversJoiners[[#This Row],[Code]],FIND("^",LeaversJoiners[[#This Row],[Code]])-1),LeaversJoiners[[#This Row],[Code]])</f>
        <v xml:space="preserve">DENGE.IS </v>
      </c>
    </row>
    <row r="199" spans="1:6" x14ac:dyDescent="0.25">
      <c r="A199" t="s">
        <v>4</v>
      </c>
      <c r="B199" t="s">
        <v>362</v>
      </c>
      <c r="C199" t="s">
        <v>363</v>
      </c>
      <c r="D199" s="2">
        <v>44680</v>
      </c>
      <c r="E199">
        <f>IF(RIGHT(LeaversJoiners[[#This Row],[Code]],1)=")",1,0)</f>
        <v>0</v>
      </c>
      <c r="F199" t="str">
        <f>IF(LeaversJoiners[[#This Row],[Sütun1]]=1,LEFT(LeaversJoiners[[#This Row],[Code]],FIND("^",LeaversJoiners[[#This Row],[Code]])-1),LeaversJoiners[[#This Row],[Code]])</f>
        <v xml:space="preserve">IMASM.IS </v>
      </c>
    </row>
    <row r="200" spans="1:6" x14ac:dyDescent="0.25">
      <c r="A200" t="s">
        <v>4</v>
      </c>
      <c r="B200" t="s">
        <v>364</v>
      </c>
      <c r="C200" t="s">
        <v>365</v>
      </c>
      <c r="D200" s="2">
        <v>44679</v>
      </c>
      <c r="E200">
        <f>IF(RIGHT(LeaversJoiners[[#This Row],[Code]],1)=")",1,0)</f>
        <v>0</v>
      </c>
      <c r="F200" t="str">
        <f>IF(LeaversJoiners[[#This Row],[Sütun1]]=1,LEFT(LeaversJoiners[[#This Row],[Code]],FIND("^",LeaversJoiners[[#This Row],[Code]])-1),LeaversJoiners[[#This Row],[Code]])</f>
        <v xml:space="preserve">KMPUR.IS </v>
      </c>
    </row>
    <row r="201" spans="1:6" x14ac:dyDescent="0.25">
      <c r="A201" t="s">
        <v>4</v>
      </c>
      <c r="B201" t="s">
        <v>366</v>
      </c>
      <c r="C201" t="s">
        <v>367</v>
      </c>
      <c r="D201" s="2">
        <v>44678</v>
      </c>
      <c r="E201">
        <f>IF(RIGHT(LeaversJoiners[[#This Row],[Code]],1)=")",1,0)</f>
        <v>0</v>
      </c>
      <c r="F201" t="str">
        <f>IF(LeaversJoiners[[#This Row],[Sütun1]]=1,LEFT(LeaversJoiners[[#This Row],[Code]],FIND("^",LeaversJoiners[[#This Row],[Code]])-1),LeaversJoiners[[#This Row],[Code]])</f>
        <v xml:space="preserve">BMSTL.IS </v>
      </c>
    </row>
    <row r="202" spans="1:6" x14ac:dyDescent="0.25">
      <c r="A202" t="s">
        <v>4</v>
      </c>
      <c r="B202" t="s">
        <v>368</v>
      </c>
      <c r="C202" t="s">
        <v>369</v>
      </c>
      <c r="D202" s="2">
        <v>44678</v>
      </c>
      <c r="E202">
        <f>IF(RIGHT(LeaversJoiners[[#This Row],[Code]],1)=")",1,0)</f>
        <v>0</v>
      </c>
      <c r="F202" t="str">
        <f>IF(LeaversJoiners[[#This Row],[Sütun1]]=1,LEFT(LeaversJoiners[[#This Row],[Code]],FIND("^",LeaversJoiners[[#This Row],[Code]])-1),LeaversJoiners[[#This Row],[Code]])</f>
        <v xml:space="preserve">UFUK.IS </v>
      </c>
    </row>
    <row r="203" spans="1:6" x14ac:dyDescent="0.25">
      <c r="A203" t="s">
        <v>4</v>
      </c>
      <c r="B203" t="s">
        <v>370</v>
      </c>
      <c r="C203" t="s">
        <v>371</v>
      </c>
      <c r="D203" s="2">
        <v>44672</v>
      </c>
      <c r="E203">
        <f>IF(RIGHT(LeaversJoiners[[#This Row],[Code]],1)=")",1,0)</f>
        <v>0</v>
      </c>
      <c r="F203" t="str">
        <f>IF(LeaversJoiners[[#This Row],[Sütun1]]=1,LEFT(LeaversJoiners[[#This Row],[Code]],FIND("^",LeaversJoiners[[#This Row],[Code]])-1),LeaversJoiners[[#This Row],[Code]])</f>
        <v xml:space="preserve">SUWEN.IS </v>
      </c>
    </row>
    <row r="204" spans="1:6" x14ac:dyDescent="0.25">
      <c r="A204" t="s">
        <v>4</v>
      </c>
      <c r="B204" t="s">
        <v>372</v>
      </c>
      <c r="C204" t="s">
        <v>373</v>
      </c>
      <c r="D204" s="2">
        <v>44671</v>
      </c>
      <c r="E204">
        <f>IF(RIGHT(LeaversJoiners[[#This Row],[Code]],1)=")",1,0)</f>
        <v>0</v>
      </c>
      <c r="F204" t="str">
        <f>IF(LeaversJoiners[[#This Row],[Sütun1]]=1,LEFT(LeaversJoiners[[#This Row],[Code]],FIND("^",LeaversJoiners[[#This Row],[Code]])-1),LeaversJoiners[[#This Row],[Code]])</f>
        <v xml:space="preserve">CONSE.IS </v>
      </c>
    </row>
    <row r="205" spans="1:6" x14ac:dyDescent="0.25">
      <c r="A205" t="s">
        <v>4</v>
      </c>
      <c r="B205" t="s">
        <v>374</v>
      </c>
      <c r="C205" t="s">
        <v>375</v>
      </c>
      <c r="D205" s="2">
        <v>44655</v>
      </c>
      <c r="E205">
        <f>IF(RIGHT(LeaversJoiners[[#This Row],[Code]],1)=")",1,0)</f>
        <v>0</v>
      </c>
      <c r="F205" t="str">
        <f>IF(LeaversJoiners[[#This Row],[Sütun1]]=1,LEFT(LeaversJoiners[[#This Row],[Code]],FIND("^",LeaversJoiners[[#This Row],[Code]])-1),LeaversJoiners[[#This Row],[Code]])</f>
        <v xml:space="preserve">LIDER.IS </v>
      </c>
    </row>
    <row r="206" spans="1:6" x14ac:dyDescent="0.25">
      <c r="A206" t="s">
        <v>4</v>
      </c>
      <c r="B206" t="s">
        <v>376</v>
      </c>
      <c r="C206" t="s">
        <v>377</v>
      </c>
      <c r="D206" s="2">
        <v>44651</v>
      </c>
      <c r="E206">
        <f>IF(RIGHT(LeaversJoiners[[#This Row],[Code]],1)=")",1,0)</f>
        <v>0</v>
      </c>
      <c r="F206" t="str">
        <f>IF(LeaversJoiners[[#This Row],[Sütun1]]=1,LEFT(LeaversJoiners[[#This Row],[Code]],FIND("^",LeaversJoiners[[#This Row],[Code]])-1),LeaversJoiners[[#This Row],[Code]])</f>
        <v xml:space="preserve">ETILR.IS </v>
      </c>
    </row>
    <row r="207" spans="1:6" x14ac:dyDescent="0.25">
      <c r="A207" t="s">
        <v>4</v>
      </c>
      <c r="B207" t="s">
        <v>378</v>
      </c>
      <c r="C207" t="s">
        <v>379</v>
      </c>
      <c r="D207" s="2">
        <v>44644</v>
      </c>
      <c r="E207">
        <f>IF(RIGHT(LeaversJoiners[[#This Row],[Code]],1)=")",1,0)</f>
        <v>0</v>
      </c>
      <c r="F207" t="str">
        <f>IF(LeaversJoiners[[#This Row],[Sütun1]]=1,LEFT(LeaversJoiners[[#This Row],[Code]],FIND("^",LeaversJoiners[[#This Row],[Code]])-1),LeaversJoiners[[#This Row],[Code]])</f>
        <v xml:space="preserve">SMRTG.IS </v>
      </c>
    </row>
    <row r="208" spans="1:6" x14ac:dyDescent="0.25">
      <c r="A208" t="s">
        <v>4</v>
      </c>
      <c r="B208" t="s">
        <v>380</v>
      </c>
      <c r="C208" t="s">
        <v>381</v>
      </c>
      <c r="D208" s="2">
        <v>44642</v>
      </c>
      <c r="E208">
        <f>IF(RIGHT(LeaversJoiners[[#This Row],[Code]],1)=")",1,0)</f>
        <v>0</v>
      </c>
      <c r="F208" t="str">
        <f>IF(LeaversJoiners[[#This Row],[Sütun1]]=1,LEFT(LeaversJoiners[[#This Row],[Code]],FIND("^",LeaversJoiners[[#This Row],[Code]])-1),LeaversJoiners[[#This Row],[Code]])</f>
        <v xml:space="preserve">ENSRI.IS </v>
      </c>
    </row>
    <row r="209" spans="1:6" x14ac:dyDescent="0.25">
      <c r="A209" t="s">
        <v>4</v>
      </c>
      <c r="B209" t="s">
        <v>382</v>
      </c>
      <c r="C209" t="s">
        <v>383</v>
      </c>
      <c r="D209" s="2">
        <v>44629</v>
      </c>
      <c r="E209">
        <f>IF(RIGHT(LeaversJoiners[[#This Row],[Code]],1)=")",1,0)</f>
        <v>0</v>
      </c>
      <c r="F209" t="str">
        <f>IF(LeaversJoiners[[#This Row],[Sütun1]]=1,LEFT(LeaversJoiners[[#This Row],[Code]],FIND("^",LeaversJoiners[[#This Row],[Code]])-1),LeaversJoiners[[#This Row],[Code]])</f>
        <v xml:space="preserve">GRSEL.IS </v>
      </c>
    </row>
    <row r="210" spans="1:6" x14ac:dyDescent="0.25">
      <c r="A210" t="s">
        <v>4</v>
      </c>
      <c r="B210" t="s">
        <v>384</v>
      </c>
      <c r="C210" t="s">
        <v>385</v>
      </c>
      <c r="D210" s="2">
        <v>44628</v>
      </c>
      <c r="E210">
        <f>IF(RIGHT(LeaversJoiners[[#This Row],[Code]],1)=")",1,0)</f>
        <v>0</v>
      </c>
      <c r="F210" t="str">
        <f>IF(LeaversJoiners[[#This Row],[Sütun1]]=1,LEFT(LeaversJoiners[[#This Row],[Code]],FIND("^",LeaversJoiners[[#This Row],[Code]])-1),LeaversJoiners[[#This Row],[Code]])</f>
        <v xml:space="preserve">GZNMI.IS </v>
      </c>
    </row>
    <row r="211" spans="1:6" x14ac:dyDescent="0.25">
      <c r="A211" t="s">
        <v>4</v>
      </c>
      <c r="B211" t="s">
        <v>386</v>
      </c>
      <c r="C211" t="s">
        <v>387</v>
      </c>
      <c r="D211" s="2">
        <v>44624</v>
      </c>
      <c r="E211">
        <f>IF(RIGHT(LeaversJoiners[[#This Row],[Code]],1)=")",1,0)</f>
        <v>0</v>
      </c>
      <c r="F211" t="str">
        <f>IF(LeaversJoiners[[#This Row],[Sütun1]]=1,LEFT(LeaversJoiners[[#This Row],[Code]],FIND("^",LeaversJoiners[[#This Row],[Code]])-1),LeaversJoiners[[#This Row],[Code]])</f>
        <v xml:space="preserve">KLSYN.IS </v>
      </c>
    </row>
    <row r="212" spans="1:6" x14ac:dyDescent="0.25">
      <c r="A212" t="s">
        <v>4</v>
      </c>
      <c r="B212" t="s">
        <v>388</v>
      </c>
      <c r="C212" t="s">
        <v>389</v>
      </c>
      <c r="D212" s="2">
        <v>44623</v>
      </c>
      <c r="E212">
        <f>IF(RIGHT(LeaversJoiners[[#This Row],[Code]],1)=")",1,0)</f>
        <v>0</v>
      </c>
      <c r="F212" t="str">
        <f>IF(LeaversJoiners[[#This Row],[Sütun1]]=1,LEFT(LeaversJoiners[[#This Row],[Code]],FIND("^",LeaversJoiners[[#This Row],[Code]])-1),LeaversJoiners[[#This Row],[Code]])</f>
        <v xml:space="preserve">HTTBT.IS </v>
      </c>
    </row>
    <row r="213" spans="1:6" x14ac:dyDescent="0.25">
      <c r="A213" t="s">
        <v>4</v>
      </c>
      <c r="B213" t="s">
        <v>390</v>
      </c>
      <c r="C213" t="s">
        <v>391</v>
      </c>
      <c r="D213" s="2">
        <v>44621</v>
      </c>
      <c r="E213">
        <f>IF(RIGHT(LeaversJoiners[[#This Row],[Code]],1)=")",1,0)</f>
        <v>0</v>
      </c>
      <c r="F213" t="str">
        <f>IF(LeaversJoiners[[#This Row],[Sütun1]]=1,LEFT(LeaversJoiners[[#This Row],[Code]],FIND("^",LeaversJoiners[[#This Row],[Code]])-1),LeaversJoiners[[#This Row],[Code]])</f>
        <v xml:space="preserve">INVES.IS </v>
      </c>
    </row>
    <row r="214" spans="1:6" x14ac:dyDescent="0.25">
      <c r="A214" t="s">
        <v>4</v>
      </c>
      <c r="B214" t="s">
        <v>392</v>
      </c>
      <c r="C214" t="s">
        <v>393</v>
      </c>
      <c r="D214" s="2">
        <v>44616</v>
      </c>
      <c r="E214">
        <f>IF(RIGHT(LeaversJoiners[[#This Row],[Code]],1)=")",1,0)</f>
        <v>0</v>
      </c>
      <c r="F214" t="str">
        <f>IF(LeaversJoiners[[#This Row],[Sütun1]]=1,LEFT(LeaversJoiners[[#This Row],[Code]],FIND("^",LeaversJoiners[[#This Row],[Code]])-1),LeaversJoiners[[#This Row],[Code]])</f>
        <v xml:space="preserve">DAPGM.IS </v>
      </c>
    </row>
    <row r="215" spans="1:6" x14ac:dyDescent="0.25">
      <c r="A215" t="s">
        <v>4</v>
      </c>
      <c r="B215" t="s">
        <v>394</v>
      </c>
      <c r="C215" t="s">
        <v>395</v>
      </c>
      <c r="D215" s="2">
        <v>44613</v>
      </c>
      <c r="E215">
        <f>IF(RIGHT(LeaversJoiners[[#This Row],[Code]],1)=")",1,0)</f>
        <v>0</v>
      </c>
      <c r="F215" t="str">
        <f>IF(LeaversJoiners[[#This Row],[Sütun1]]=1,LEFT(LeaversJoiners[[#This Row],[Code]],FIND("^",LeaversJoiners[[#This Row],[Code]])-1),LeaversJoiners[[#This Row],[Code]])</f>
        <v xml:space="preserve">HUNER.IS </v>
      </c>
    </row>
    <row r="216" spans="1:6" x14ac:dyDescent="0.25">
      <c r="A216" t="s">
        <v>4</v>
      </c>
      <c r="B216" t="s">
        <v>396</v>
      </c>
      <c r="C216" t="s">
        <v>397</v>
      </c>
      <c r="D216" s="2">
        <v>44610</v>
      </c>
      <c r="E216">
        <f>IF(RIGHT(LeaversJoiners[[#This Row],[Code]],1)=")",1,0)</f>
        <v>0</v>
      </c>
      <c r="F216" t="str">
        <f>IF(LeaversJoiners[[#This Row],[Sütun1]]=1,LEFT(LeaversJoiners[[#This Row],[Code]],FIND("^",LeaversJoiners[[#This Row],[Code]])-1),LeaversJoiners[[#This Row],[Code]])</f>
        <v xml:space="preserve">PNLSN.IS </v>
      </c>
    </row>
    <row r="217" spans="1:6" x14ac:dyDescent="0.25">
      <c r="A217" t="s">
        <v>4</v>
      </c>
      <c r="B217" t="s">
        <v>398</v>
      </c>
      <c r="C217" t="s">
        <v>399</v>
      </c>
      <c r="D217" s="2">
        <v>44574</v>
      </c>
      <c r="E217">
        <f>IF(RIGHT(LeaversJoiners[[#This Row],[Code]],1)=")",1,0)</f>
        <v>0</v>
      </c>
      <c r="F217" t="str">
        <f>IF(LeaversJoiners[[#This Row],[Sütun1]]=1,LEFT(LeaversJoiners[[#This Row],[Code]],FIND("^",LeaversJoiners[[#This Row],[Code]])-1),LeaversJoiners[[#This Row],[Code]])</f>
        <v xml:space="preserve">ERCB.IS </v>
      </c>
    </row>
    <row r="218" spans="1:6" x14ac:dyDescent="0.25">
      <c r="A218" t="s">
        <v>29</v>
      </c>
      <c r="B218" t="s">
        <v>400</v>
      </c>
      <c r="C218" t="s">
        <v>401</v>
      </c>
      <c r="D218" s="2">
        <v>44574</v>
      </c>
      <c r="E218">
        <f>IF(RIGHT(LeaversJoiners[[#This Row],[Code]],1)=")",1,0)</f>
        <v>1</v>
      </c>
      <c r="F218" t="str">
        <f>IF(LeaversJoiners[[#This Row],[Sütun1]]=1,LEFT(LeaversJoiners[[#This Row],[Code]],FIND("^",LeaversJoiners[[#This Row],[Code]])-1),LeaversJoiners[[#This Row],[Code]])</f>
        <v>OZBAL.IS</v>
      </c>
    </row>
    <row r="219" spans="1:6" x14ac:dyDescent="0.25">
      <c r="A219" t="s">
        <v>4</v>
      </c>
      <c r="B219" t="s">
        <v>402</v>
      </c>
      <c r="C219" t="s">
        <v>403</v>
      </c>
      <c r="D219" s="2">
        <v>44546</v>
      </c>
      <c r="E219">
        <f>IF(RIGHT(LeaversJoiners[[#This Row],[Code]],1)=")",1,0)</f>
        <v>0</v>
      </c>
      <c r="F219" t="str">
        <f>IF(LeaversJoiners[[#This Row],[Sütun1]]=1,LEFT(LeaversJoiners[[#This Row],[Code]],FIND("^",LeaversJoiners[[#This Row],[Code]])-1),LeaversJoiners[[#This Row],[Code]])</f>
        <v xml:space="preserve">PSGYO.IS </v>
      </c>
    </row>
    <row r="220" spans="1:6" x14ac:dyDescent="0.25">
      <c r="A220" t="s">
        <v>4</v>
      </c>
      <c r="B220" t="s">
        <v>404</v>
      </c>
      <c r="C220" t="s">
        <v>405</v>
      </c>
      <c r="D220" s="2">
        <v>44536</v>
      </c>
      <c r="E220">
        <f>IF(RIGHT(LeaversJoiners[[#This Row],[Code]],1)=")",1,0)</f>
        <v>0</v>
      </c>
      <c r="F220" t="str">
        <f>IF(LeaversJoiners[[#This Row],[Sütun1]]=1,LEFT(LeaversJoiners[[#This Row],[Code]],FIND("^",LeaversJoiners[[#This Row],[Code]])-1),LeaversJoiners[[#This Row],[Code]])</f>
        <v xml:space="preserve">RNPOL.IS </v>
      </c>
    </row>
    <row r="221" spans="1:6" x14ac:dyDescent="0.25">
      <c r="A221" t="s">
        <v>4</v>
      </c>
      <c r="B221" t="s">
        <v>406</v>
      </c>
      <c r="C221" t="s">
        <v>407</v>
      </c>
      <c r="D221" s="2">
        <v>44531</v>
      </c>
      <c r="E221">
        <f>IF(RIGHT(LeaversJoiners[[#This Row],[Code]],1)=")",1,0)</f>
        <v>0</v>
      </c>
      <c r="F221" t="str">
        <f>IF(LeaversJoiners[[#This Row],[Sütun1]]=1,LEFT(LeaversJoiners[[#This Row],[Code]],FIND("^",LeaversJoiners[[#This Row],[Code]])-1),LeaversJoiners[[#This Row],[Code]])</f>
        <v xml:space="preserve">PCILT.IS </v>
      </c>
    </row>
    <row r="222" spans="1:6" x14ac:dyDescent="0.25">
      <c r="A222" t="s">
        <v>4</v>
      </c>
      <c r="B222" t="s">
        <v>408</v>
      </c>
      <c r="C222" t="s">
        <v>409</v>
      </c>
      <c r="D222" s="2">
        <v>44526</v>
      </c>
      <c r="E222">
        <f>IF(RIGHT(LeaversJoiners[[#This Row],[Code]],1)=")",1,0)</f>
        <v>0</v>
      </c>
      <c r="F222" t="str">
        <f>IF(LeaversJoiners[[#This Row],[Sütun1]]=1,LEFT(LeaversJoiners[[#This Row],[Code]],FIND("^",LeaversJoiners[[#This Row],[Code]])-1),LeaversJoiners[[#This Row],[Code]])</f>
        <v xml:space="preserve">KONKA.IS </v>
      </c>
    </row>
    <row r="223" spans="1:6" x14ac:dyDescent="0.25">
      <c r="A223" t="s">
        <v>4</v>
      </c>
      <c r="B223" t="s">
        <v>410</v>
      </c>
      <c r="C223" t="s">
        <v>411</v>
      </c>
      <c r="D223" s="2">
        <v>44525</v>
      </c>
      <c r="E223">
        <f>IF(RIGHT(LeaversJoiners[[#This Row],[Code]],1)=")",1,0)</f>
        <v>0</v>
      </c>
      <c r="F223" t="str">
        <f>IF(LeaversJoiners[[#This Row],[Sütun1]]=1,LEFT(LeaversJoiners[[#This Row],[Code]],FIND("^",LeaversJoiners[[#This Row],[Code]])-1),LeaversJoiners[[#This Row],[Code]])</f>
        <v xml:space="preserve">MOBTL.IS </v>
      </c>
    </row>
    <row r="224" spans="1:6" x14ac:dyDescent="0.25">
      <c r="A224" t="s">
        <v>4</v>
      </c>
      <c r="B224" t="s">
        <v>412</v>
      </c>
      <c r="C224" t="s">
        <v>413</v>
      </c>
      <c r="D224" s="2">
        <v>44522</v>
      </c>
      <c r="E224">
        <f>IF(RIGHT(LeaversJoiners[[#This Row],[Code]],1)=")",1,0)</f>
        <v>0</v>
      </c>
      <c r="F224" t="str">
        <f>IF(LeaversJoiners[[#This Row],[Sütun1]]=1,LEFT(LeaversJoiners[[#This Row],[Code]],FIND("^",LeaversJoiners[[#This Row],[Code]])-1),LeaversJoiners[[#This Row],[Code]])</f>
        <v xml:space="preserve">MIATK.IS </v>
      </c>
    </row>
    <row r="225" spans="1:6" x14ac:dyDescent="0.25">
      <c r="A225" t="s">
        <v>4</v>
      </c>
      <c r="B225" t="s">
        <v>414</v>
      </c>
      <c r="C225" t="s">
        <v>415</v>
      </c>
      <c r="D225" s="2">
        <v>44518</v>
      </c>
      <c r="E225">
        <f>IF(RIGHT(LeaversJoiners[[#This Row],[Code]],1)=")",1,0)</f>
        <v>0</v>
      </c>
      <c r="F225" t="str">
        <f>IF(LeaversJoiners[[#This Row],[Sütun1]]=1,LEFT(LeaversJoiners[[#This Row],[Code]],FIND("^",LeaversJoiners[[#This Row],[Code]])-1),LeaversJoiners[[#This Row],[Code]])</f>
        <v xml:space="preserve">ISSEN.IS </v>
      </c>
    </row>
    <row r="226" spans="1:6" x14ac:dyDescent="0.25">
      <c r="A226" t="s">
        <v>4</v>
      </c>
      <c r="B226" t="s">
        <v>416</v>
      </c>
      <c r="C226" t="s">
        <v>417</v>
      </c>
      <c r="D226" s="2">
        <v>44515</v>
      </c>
      <c r="E226">
        <f>IF(RIGHT(LeaversJoiners[[#This Row],[Code]],1)=")",1,0)</f>
        <v>0</v>
      </c>
      <c r="F226" t="str">
        <f>IF(LeaversJoiners[[#This Row],[Sütun1]]=1,LEFT(LeaversJoiners[[#This Row],[Code]],FIND("^",LeaversJoiners[[#This Row],[Code]])-1),LeaversJoiners[[#This Row],[Code]])</f>
        <v xml:space="preserve">ELITE.IS </v>
      </c>
    </row>
    <row r="227" spans="1:6" x14ac:dyDescent="0.25">
      <c r="A227" t="s">
        <v>4</v>
      </c>
      <c r="B227" t="s">
        <v>418</v>
      </c>
      <c r="C227" t="s">
        <v>419</v>
      </c>
      <c r="D227" s="2">
        <v>44512</v>
      </c>
      <c r="E227">
        <f>IF(RIGHT(LeaversJoiners[[#This Row],[Code]],1)=")",1,0)</f>
        <v>0</v>
      </c>
      <c r="F227" t="str">
        <f>IF(LeaversJoiners[[#This Row],[Sütun1]]=1,LEFT(LeaversJoiners[[#This Row],[Code]],FIND("^",LeaversJoiners[[#This Row],[Code]])-1),LeaversJoiners[[#This Row],[Code]])</f>
        <v xml:space="preserve">GMTAS.IS </v>
      </c>
    </row>
    <row r="228" spans="1:6" x14ac:dyDescent="0.25">
      <c r="A228" t="s">
        <v>4</v>
      </c>
      <c r="B228" t="s">
        <v>420</v>
      </c>
      <c r="C228" t="s">
        <v>421</v>
      </c>
      <c r="D228" s="2">
        <v>44511</v>
      </c>
      <c r="E228">
        <f>IF(RIGHT(LeaversJoiners[[#This Row],[Code]],1)=")",1,0)</f>
        <v>0</v>
      </c>
      <c r="F228" t="str">
        <f>IF(LeaversJoiners[[#This Row],[Sütun1]]=1,LEFT(LeaversJoiners[[#This Row],[Code]],FIND("^",LeaversJoiners[[#This Row],[Code]])-1),LeaversJoiners[[#This Row],[Code]])</f>
        <v xml:space="preserve">ARASE.IS </v>
      </c>
    </row>
    <row r="229" spans="1:6" x14ac:dyDescent="0.25">
      <c r="A229" t="s">
        <v>4</v>
      </c>
      <c r="B229" t="s">
        <v>422</v>
      </c>
      <c r="C229" t="s">
        <v>423</v>
      </c>
      <c r="D229" s="2">
        <v>44511</v>
      </c>
      <c r="E229">
        <f>IF(RIGHT(LeaversJoiners[[#This Row],[Code]],1)=")",1,0)</f>
        <v>0</v>
      </c>
      <c r="F229" t="str">
        <f>IF(LeaversJoiners[[#This Row],[Sütun1]]=1,LEFT(LeaversJoiners[[#This Row],[Code]],FIND("^",LeaversJoiners[[#This Row],[Code]])-1),LeaversJoiners[[#This Row],[Code]])</f>
        <v xml:space="preserve">ULUFA.IS </v>
      </c>
    </row>
    <row r="230" spans="1:6" x14ac:dyDescent="0.25">
      <c r="A230" t="s">
        <v>4</v>
      </c>
      <c r="B230" t="s">
        <v>424</v>
      </c>
      <c r="C230" t="s">
        <v>425</v>
      </c>
      <c r="D230" s="2">
        <v>44508</v>
      </c>
      <c r="E230">
        <f>IF(RIGHT(LeaversJoiners[[#This Row],[Code]],1)=")",1,0)</f>
        <v>0</v>
      </c>
      <c r="F230" t="str">
        <f>IF(LeaversJoiners[[#This Row],[Sütun1]]=1,LEFT(LeaversJoiners[[#This Row],[Code]],FIND("^",LeaversJoiners[[#This Row],[Code]])-1),LeaversJoiners[[#This Row],[Code]])</f>
        <v xml:space="preserve">DOKTA.IS </v>
      </c>
    </row>
    <row r="231" spans="1:6" x14ac:dyDescent="0.25">
      <c r="A231" t="s">
        <v>4</v>
      </c>
      <c r="B231" t="s">
        <v>426</v>
      </c>
      <c r="C231" t="s">
        <v>427</v>
      </c>
      <c r="D231" s="2">
        <v>44503</v>
      </c>
      <c r="E231">
        <f>IF(RIGHT(LeaversJoiners[[#This Row],[Code]],1)=")",1,0)</f>
        <v>0</v>
      </c>
      <c r="F231" t="str">
        <f>IF(LeaversJoiners[[#This Row],[Sütun1]]=1,LEFT(LeaversJoiners[[#This Row],[Code]],FIND("^",LeaversJoiners[[#This Row],[Code]])-1),LeaversJoiners[[#This Row],[Code]])</f>
        <v xml:space="preserve">IHAAS.IS </v>
      </c>
    </row>
    <row r="232" spans="1:6" x14ac:dyDescent="0.25">
      <c r="A232" t="s">
        <v>4</v>
      </c>
      <c r="B232" t="s">
        <v>428</v>
      </c>
      <c r="C232" t="s">
        <v>429</v>
      </c>
      <c r="D232" s="2">
        <v>44491</v>
      </c>
      <c r="E232">
        <f>IF(RIGHT(LeaversJoiners[[#This Row],[Code]],1)=")",1,0)</f>
        <v>0</v>
      </c>
      <c r="F232" t="str">
        <f>IF(LeaversJoiners[[#This Row],[Sütun1]]=1,LEFT(LeaversJoiners[[#This Row],[Code]],FIND("^",LeaversJoiners[[#This Row],[Code]])-1),LeaversJoiners[[#This Row],[Code]])</f>
        <v xml:space="preserve">HEDEF.IS </v>
      </c>
    </row>
    <row r="233" spans="1:6" x14ac:dyDescent="0.25">
      <c r="A233" t="s">
        <v>4</v>
      </c>
      <c r="B233" t="s">
        <v>430</v>
      </c>
      <c r="C233" t="s">
        <v>431</v>
      </c>
      <c r="D233" s="2">
        <v>44490</v>
      </c>
      <c r="E233">
        <f>IF(RIGHT(LeaversJoiners[[#This Row],[Code]],1)=")",1,0)</f>
        <v>0</v>
      </c>
      <c r="F233" t="str">
        <f>IF(LeaversJoiners[[#This Row],[Sütun1]]=1,LEFT(LeaversJoiners[[#This Row],[Code]],FIND("^",LeaversJoiners[[#This Row],[Code]])-1),LeaversJoiners[[#This Row],[Code]])</f>
        <v xml:space="preserve">ANGEN.IS </v>
      </c>
    </row>
    <row r="234" spans="1:6" x14ac:dyDescent="0.25">
      <c r="A234" t="s">
        <v>4</v>
      </c>
      <c r="B234" t="s">
        <v>432</v>
      </c>
      <c r="C234" t="s">
        <v>433</v>
      </c>
      <c r="D234" s="2">
        <v>44490</v>
      </c>
      <c r="E234">
        <f>IF(RIGHT(LeaversJoiners[[#This Row],[Code]],1)=")",1,0)</f>
        <v>0</v>
      </c>
      <c r="F234" t="str">
        <f>IF(LeaversJoiners[[#This Row],[Sütun1]]=1,LEFT(LeaversJoiners[[#This Row],[Code]],FIND("^",LeaversJoiners[[#This Row],[Code]])-1),LeaversJoiners[[#This Row],[Code]])</f>
        <v xml:space="preserve">GLCVY.IS </v>
      </c>
    </row>
    <row r="235" spans="1:6" x14ac:dyDescent="0.25">
      <c r="A235" t="s">
        <v>4</v>
      </c>
      <c r="B235" t="s">
        <v>434</v>
      </c>
      <c r="C235" t="s">
        <v>435</v>
      </c>
      <c r="D235" s="2">
        <v>44477</v>
      </c>
      <c r="E235">
        <f>IF(RIGHT(LeaversJoiners[[#This Row],[Code]],1)=")",1,0)</f>
        <v>0</v>
      </c>
      <c r="F235" t="str">
        <f>IF(LeaversJoiners[[#This Row],[Sütun1]]=1,LEFT(LeaversJoiners[[#This Row],[Code]],FIND("^",LeaversJoiners[[#This Row],[Code]])-1),LeaversJoiners[[#This Row],[Code]])</f>
        <v xml:space="preserve">BAGFS.IS </v>
      </c>
    </row>
    <row r="236" spans="1:6" x14ac:dyDescent="0.25">
      <c r="A236" t="s">
        <v>4</v>
      </c>
      <c r="B236" t="s">
        <v>436</v>
      </c>
      <c r="C236" t="s">
        <v>437</v>
      </c>
      <c r="D236" s="2">
        <v>44476</v>
      </c>
      <c r="E236">
        <f>IF(RIGHT(LeaversJoiners[[#This Row],[Code]],1)=")",1,0)</f>
        <v>0</v>
      </c>
      <c r="F236" t="str">
        <f>IF(LeaversJoiners[[#This Row],[Sütun1]]=1,LEFT(LeaversJoiners[[#This Row],[Code]],FIND("^",LeaversJoiners[[#This Row],[Code]])-1),LeaversJoiners[[#This Row],[Code]])</f>
        <v xml:space="preserve">MERIT.IS </v>
      </c>
    </row>
    <row r="237" spans="1:6" x14ac:dyDescent="0.25">
      <c r="A237" t="s">
        <v>4</v>
      </c>
      <c r="B237" t="s">
        <v>438</v>
      </c>
      <c r="C237" t="s">
        <v>439</v>
      </c>
      <c r="D237" s="2">
        <v>44469</v>
      </c>
      <c r="E237">
        <f>IF(RIGHT(LeaversJoiners[[#This Row],[Code]],1)=")",1,0)</f>
        <v>0</v>
      </c>
      <c r="F237" t="str">
        <f>IF(LeaversJoiners[[#This Row],[Sütun1]]=1,LEFT(LeaversJoiners[[#This Row],[Code]],FIND("^",LeaversJoiners[[#This Row],[Code]])-1),LeaversJoiners[[#This Row],[Code]])</f>
        <v xml:space="preserve">MAGEN.IS </v>
      </c>
    </row>
    <row r="238" spans="1:6" x14ac:dyDescent="0.25">
      <c r="A238" t="s">
        <v>4</v>
      </c>
      <c r="B238" t="s">
        <v>440</v>
      </c>
      <c r="C238" t="s">
        <v>441</v>
      </c>
      <c r="D238" s="2">
        <v>44461</v>
      </c>
      <c r="E238">
        <f>IF(RIGHT(LeaversJoiners[[#This Row],[Code]],1)=")",1,0)</f>
        <v>0</v>
      </c>
      <c r="F238" t="str">
        <f>IF(LeaversJoiners[[#This Row],[Sütun1]]=1,LEFT(LeaversJoiners[[#This Row],[Code]],FIND("^",LeaversJoiners[[#This Row],[Code]])-1),LeaversJoiners[[#This Row],[Code]])</f>
        <v xml:space="preserve">KIMMR.IS </v>
      </c>
    </row>
    <row r="239" spans="1:6" x14ac:dyDescent="0.25">
      <c r="A239" t="s">
        <v>4</v>
      </c>
      <c r="B239" t="s">
        <v>442</v>
      </c>
      <c r="C239" t="s">
        <v>443</v>
      </c>
      <c r="D239" s="2">
        <v>44454</v>
      </c>
      <c r="E239">
        <f>IF(RIGHT(LeaversJoiners[[#This Row],[Code]],1)=")",1,0)</f>
        <v>0</v>
      </c>
      <c r="F239" t="str">
        <f>IF(LeaversJoiners[[#This Row],[Sütun1]]=1,LEFT(LeaversJoiners[[#This Row],[Code]],FIND("^",LeaversJoiners[[#This Row],[Code]])-1),LeaversJoiners[[#This Row],[Code]])</f>
        <v xml:space="preserve">TEZOL.IS </v>
      </c>
    </row>
    <row r="240" spans="1:6" x14ac:dyDescent="0.25">
      <c r="A240" t="s">
        <v>4</v>
      </c>
      <c r="B240" t="s">
        <v>444</v>
      </c>
      <c r="C240" t="s">
        <v>445</v>
      </c>
      <c r="D240" s="2">
        <v>44442</v>
      </c>
      <c r="E240">
        <f>IF(RIGHT(LeaversJoiners[[#This Row],[Code]],1)=")",1,0)</f>
        <v>0</v>
      </c>
      <c r="F240" t="str">
        <f>IF(LeaversJoiners[[#This Row],[Sütun1]]=1,LEFT(LeaversJoiners[[#This Row],[Code]],FIND("^",LeaversJoiners[[#This Row],[Code]])-1),LeaversJoiners[[#This Row],[Code]])</f>
        <v xml:space="preserve">YEOTK.IS </v>
      </c>
    </row>
    <row r="241" spans="1:6" x14ac:dyDescent="0.25">
      <c r="A241" t="s">
        <v>4</v>
      </c>
      <c r="B241" t="s">
        <v>446</v>
      </c>
      <c r="C241" t="s">
        <v>447</v>
      </c>
      <c r="D241" s="2">
        <v>44441</v>
      </c>
      <c r="E241">
        <f>IF(RIGHT(LeaversJoiners[[#This Row],[Code]],1)=")",1,0)</f>
        <v>0</v>
      </c>
      <c r="F241" t="str">
        <f>IF(LeaversJoiners[[#This Row],[Sütun1]]=1,LEFT(LeaversJoiners[[#This Row],[Code]],FIND("^",LeaversJoiners[[#This Row],[Code]])-1),LeaversJoiners[[#This Row],[Code]])</f>
        <v xml:space="preserve">ORCAY.IS </v>
      </c>
    </row>
    <row r="242" spans="1:6" x14ac:dyDescent="0.25">
      <c r="A242" t="s">
        <v>4</v>
      </c>
      <c r="B242" t="s">
        <v>448</v>
      </c>
      <c r="C242" t="s">
        <v>449</v>
      </c>
      <c r="D242" s="2">
        <v>44440</v>
      </c>
      <c r="E242">
        <f>IF(RIGHT(LeaversJoiners[[#This Row],[Code]],1)=")",1,0)</f>
        <v>0</v>
      </c>
      <c r="F242" t="str">
        <f>IF(LeaversJoiners[[#This Row],[Sütun1]]=1,LEFT(LeaversJoiners[[#This Row],[Code]],FIND("^",LeaversJoiners[[#This Row],[Code]])-1),LeaversJoiners[[#This Row],[Code]])</f>
        <v xml:space="preserve">EGEPO.IS </v>
      </c>
    </row>
    <row r="243" spans="1:6" x14ac:dyDescent="0.25">
      <c r="A243" t="s">
        <v>4</v>
      </c>
      <c r="B243" t="s">
        <v>450</v>
      </c>
      <c r="C243" t="s">
        <v>451</v>
      </c>
      <c r="D243" s="2">
        <v>44428</v>
      </c>
      <c r="E243">
        <f>IF(RIGHT(LeaversJoiners[[#This Row],[Code]],1)=")",1,0)</f>
        <v>0</v>
      </c>
      <c r="F243" t="str">
        <f>IF(LeaversJoiners[[#This Row],[Sütun1]]=1,LEFT(LeaversJoiners[[#This Row],[Code]],FIND("^",LeaversJoiners[[#This Row],[Code]])-1),LeaversJoiners[[#This Row],[Code]])</f>
        <v xml:space="preserve">BRLSM.IS </v>
      </c>
    </row>
    <row r="244" spans="1:6" x14ac:dyDescent="0.25">
      <c r="A244" t="s">
        <v>4</v>
      </c>
      <c r="B244" t="s">
        <v>452</v>
      </c>
      <c r="C244" t="s">
        <v>453</v>
      </c>
      <c r="D244" s="2">
        <v>44427</v>
      </c>
      <c r="E244">
        <f>IF(RIGHT(LeaversJoiners[[#This Row],[Code]],1)=")",1,0)</f>
        <v>0</v>
      </c>
      <c r="F244" t="str">
        <f>IF(LeaversJoiners[[#This Row],[Sütun1]]=1,LEFT(LeaversJoiners[[#This Row],[Code]],FIND("^",LeaversJoiners[[#This Row],[Code]])-1),LeaversJoiners[[#This Row],[Code]])</f>
        <v xml:space="preserve">GESAN.IS </v>
      </c>
    </row>
    <row r="245" spans="1:6" x14ac:dyDescent="0.25">
      <c r="A245" t="s">
        <v>4</v>
      </c>
      <c r="B245" t="s">
        <v>454</v>
      </c>
      <c r="C245" t="s">
        <v>455</v>
      </c>
      <c r="D245" s="2">
        <v>44420</v>
      </c>
      <c r="E245">
        <f>IF(RIGHT(LeaversJoiners[[#This Row],[Code]],1)=")",1,0)</f>
        <v>0</v>
      </c>
      <c r="F245" t="str">
        <f>IF(LeaversJoiners[[#This Row],[Sütun1]]=1,LEFT(LeaversJoiners[[#This Row],[Code]],FIND("^",LeaversJoiners[[#This Row],[Code]])-1),LeaversJoiners[[#This Row],[Code]])</f>
        <v xml:space="preserve">KZBGY.IS </v>
      </c>
    </row>
    <row r="246" spans="1:6" x14ac:dyDescent="0.25">
      <c r="A246" t="s">
        <v>4</v>
      </c>
      <c r="B246" t="s">
        <v>456</v>
      </c>
      <c r="C246" t="s">
        <v>457</v>
      </c>
      <c r="D246" s="2">
        <v>44413</v>
      </c>
      <c r="E246">
        <f>IF(RIGHT(LeaversJoiners[[#This Row],[Code]],1)=")",1,0)</f>
        <v>0</v>
      </c>
      <c r="F246" t="str">
        <f>IF(LeaversJoiners[[#This Row],[Sütun1]]=1,LEFT(LeaversJoiners[[#This Row],[Code]],FIND("^",LeaversJoiners[[#This Row],[Code]])-1),LeaversJoiners[[#This Row],[Code]])</f>
        <v xml:space="preserve">GENIL.IS </v>
      </c>
    </row>
    <row r="247" spans="1:6" x14ac:dyDescent="0.25">
      <c r="A247" t="s">
        <v>4</v>
      </c>
      <c r="B247" t="s">
        <v>458</v>
      </c>
      <c r="C247" t="s">
        <v>459</v>
      </c>
      <c r="D247" s="2">
        <v>44404</v>
      </c>
      <c r="E247">
        <f>IF(RIGHT(LeaversJoiners[[#This Row],[Code]],1)=")",1,0)</f>
        <v>0</v>
      </c>
      <c r="F247" t="str">
        <f>IF(LeaversJoiners[[#This Row],[Sütun1]]=1,LEFT(LeaversJoiners[[#This Row],[Code]],FIND("^",LeaversJoiners[[#This Row],[Code]])-1),LeaversJoiners[[#This Row],[Code]])</f>
        <v xml:space="preserve">MANAS.IS </v>
      </c>
    </row>
    <row r="248" spans="1:6" x14ac:dyDescent="0.25">
      <c r="A248" t="s">
        <v>4</v>
      </c>
      <c r="B248" t="s">
        <v>460</v>
      </c>
      <c r="C248" t="s">
        <v>461</v>
      </c>
      <c r="D248" s="2">
        <v>44393</v>
      </c>
      <c r="E248">
        <f>IF(RIGHT(LeaversJoiners[[#This Row],[Code]],1)=")",1,0)</f>
        <v>0</v>
      </c>
      <c r="F248" t="str">
        <f>IF(LeaversJoiners[[#This Row],[Sütun1]]=1,LEFT(LeaversJoiners[[#This Row],[Code]],FIND("^",LeaversJoiners[[#This Row],[Code]])-1),LeaversJoiners[[#This Row],[Code]])</f>
        <v xml:space="preserve">A1YEN.IS </v>
      </c>
    </row>
    <row r="249" spans="1:6" x14ac:dyDescent="0.25">
      <c r="A249" t="s">
        <v>4</v>
      </c>
      <c r="B249" t="s">
        <v>462</v>
      </c>
      <c r="C249" t="s">
        <v>463</v>
      </c>
      <c r="D249" s="2">
        <v>44390</v>
      </c>
      <c r="E249">
        <f>IF(RIGHT(LeaversJoiners[[#This Row],[Code]],1)=")",1,0)</f>
        <v>0</v>
      </c>
      <c r="F249" t="str">
        <f>IF(LeaversJoiners[[#This Row],[Sütun1]]=1,LEFT(LeaversJoiners[[#This Row],[Code]],FIND("^",LeaversJoiners[[#This Row],[Code]])-1),LeaversJoiners[[#This Row],[Code]])</f>
        <v xml:space="preserve">ESCAR.IS </v>
      </c>
    </row>
    <row r="250" spans="1:6" x14ac:dyDescent="0.25">
      <c r="A250" t="s">
        <v>4</v>
      </c>
      <c r="B250" t="s">
        <v>464</v>
      </c>
      <c r="C250" t="s">
        <v>465</v>
      </c>
      <c r="D250" s="2">
        <v>44389</v>
      </c>
      <c r="E250">
        <f>IF(RIGHT(LeaversJoiners[[#This Row],[Code]],1)=")",1,0)</f>
        <v>0</v>
      </c>
      <c r="F250" t="str">
        <f>IF(LeaversJoiners[[#This Row],[Sütun1]]=1,LEFT(LeaversJoiners[[#This Row],[Code]],FIND("^",LeaversJoiners[[#This Row],[Code]])-1),LeaversJoiners[[#This Row],[Code]])</f>
        <v xml:space="preserve">VBTYZ.IS </v>
      </c>
    </row>
    <row r="251" spans="1:6" x14ac:dyDescent="0.25">
      <c r="A251" t="s">
        <v>4</v>
      </c>
      <c r="B251" t="s">
        <v>466</v>
      </c>
      <c r="C251" t="s">
        <v>467</v>
      </c>
      <c r="D251" s="2">
        <v>44385</v>
      </c>
      <c r="E251">
        <f>IF(RIGHT(LeaversJoiners[[#This Row],[Code]],1)=")",1,0)</f>
        <v>0</v>
      </c>
      <c r="F251" t="str">
        <f>IF(LeaversJoiners[[#This Row],[Sütun1]]=1,LEFT(LeaversJoiners[[#This Row],[Code]],FIND("^",LeaversJoiners[[#This Row],[Code]])-1),LeaversJoiners[[#This Row],[Code]])</f>
        <v xml:space="preserve">KTSKR.IS </v>
      </c>
    </row>
    <row r="252" spans="1:6" x14ac:dyDescent="0.25">
      <c r="A252" t="s">
        <v>4</v>
      </c>
      <c r="B252" t="s">
        <v>468</v>
      </c>
      <c r="C252" t="s">
        <v>469</v>
      </c>
      <c r="D252" s="2">
        <v>44382</v>
      </c>
      <c r="E252">
        <f>IF(RIGHT(LeaversJoiners[[#This Row],[Code]],1)=")",1,0)</f>
        <v>0</v>
      </c>
      <c r="F252" t="str">
        <f>IF(LeaversJoiners[[#This Row],[Sütun1]]=1,LEFT(LeaversJoiners[[#This Row],[Code]],FIND("^",LeaversJoiners[[#This Row],[Code]])-1),LeaversJoiners[[#This Row],[Code]])</f>
        <v xml:space="preserve">EDATA.IS </v>
      </c>
    </row>
    <row r="253" spans="1:6" x14ac:dyDescent="0.25">
      <c r="A253" t="s">
        <v>4</v>
      </c>
      <c r="B253" t="s">
        <v>470</v>
      </c>
      <c r="C253" t="s">
        <v>471</v>
      </c>
      <c r="D253" s="2">
        <v>44379</v>
      </c>
      <c r="E253">
        <f>IF(RIGHT(LeaversJoiners[[#This Row],[Code]],1)=")",1,0)</f>
        <v>0</v>
      </c>
      <c r="F253" t="str">
        <f>IF(LeaversJoiners[[#This Row],[Sütun1]]=1,LEFT(LeaversJoiners[[#This Row],[Code]],FIND("^",LeaversJoiners[[#This Row],[Code]])-1),LeaversJoiners[[#This Row],[Code]])</f>
        <v xml:space="preserve">MEDTR.IS </v>
      </c>
    </row>
    <row r="254" spans="1:6" x14ac:dyDescent="0.25">
      <c r="A254" t="s">
        <v>4</v>
      </c>
      <c r="B254" t="s">
        <v>472</v>
      </c>
      <c r="C254" t="s">
        <v>473</v>
      </c>
      <c r="D254" s="2">
        <v>44372</v>
      </c>
      <c r="E254">
        <f>IF(RIGHT(LeaversJoiners[[#This Row],[Code]],1)=")",1,0)</f>
        <v>0</v>
      </c>
      <c r="F254" t="str">
        <f>IF(LeaversJoiners[[#This Row],[Sütun1]]=1,LEFT(LeaversJoiners[[#This Row],[Code]],FIND("^",LeaversJoiners[[#This Row],[Code]])-1),LeaversJoiners[[#This Row],[Code]])</f>
        <v xml:space="preserve">SELVA.IS </v>
      </c>
    </row>
    <row r="255" spans="1:6" x14ac:dyDescent="0.25">
      <c r="A255" t="s">
        <v>29</v>
      </c>
      <c r="B255" t="s">
        <v>434</v>
      </c>
      <c r="C255" t="s">
        <v>435</v>
      </c>
      <c r="D255" s="2">
        <v>44363</v>
      </c>
      <c r="E255">
        <f>IF(RIGHT(LeaversJoiners[[#This Row],[Code]],1)=")",1,0)</f>
        <v>0</v>
      </c>
      <c r="F255" t="str">
        <f>IF(LeaversJoiners[[#This Row],[Sütun1]]=1,LEFT(LeaversJoiners[[#This Row],[Code]],FIND("^",LeaversJoiners[[#This Row],[Code]])-1),LeaversJoiners[[#This Row],[Code]])</f>
        <v xml:space="preserve">BAGFS.IS </v>
      </c>
    </row>
    <row r="256" spans="1:6" x14ac:dyDescent="0.25">
      <c r="A256" t="s">
        <v>4</v>
      </c>
      <c r="B256" t="s">
        <v>474</v>
      </c>
      <c r="C256" t="s">
        <v>475</v>
      </c>
      <c r="D256" s="2">
        <v>44358</v>
      </c>
      <c r="E256">
        <f>IF(RIGHT(LeaversJoiners[[#This Row],[Code]],1)=")",1,0)</f>
        <v>0</v>
      </c>
      <c r="F256" t="str">
        <f>IF(LeaversJoiners[[#This Row],[Sütun1]]=1,LEFT(LeaversJoiners[[#This Row],[Code]],FIND("^",LeaversJoiners[[#This Row],[Code]])-1),LeaversJoiners[[#This Row],[Code]])</f>
        <v xml:space="preserve">BASGZ.IS </v>
      </c>
    </row>
    <row r="257" spans="1:6" x14ac:dyDescent="0.25">
      <c r="A257" t="s">
        <v>4</v>
      </c>
      <c r="B257" t="s">
        <v>476</v>
      </c>
      <c r="C257" t="s">
        <v>477</v>
      </c>
      <c r="D257" s="2">
        <v>44357</v>
      </c>
      <c r="E257">
        <f>IF(RIGHT(LeaversJoiners[[#This Row],[Code]],1)=")",1,0)</f>
        <v>0</v>
      </c>
      <c r="F257" t="str">
        <f>IF(LeaversJoiners[[#This Row],[Sütun1]]=1,LEFT(LeaversJoiners[[#This Row],[Code]],FIND("^",LeaversJoiners[[#This Row],[Code]])-1),LeaversJoiners[[#This Row],[Code]])</f>
        <v xml:space="preserve">OYYAT.IS </v>
      </c>
    </row>
    <row r="258" spans="1:6" x14ac:dyDescent="0.25">
      <c r="A258" t="s">
        <v>4</v>
      </c>
      <c r="B258" t="s">
        <v>478</v>
      </c>
      <c r="C258" t="s">
        <v>479</v>
      </c>
      <c r="D258" s="2">
        <v>44355</v>
      </c>
      <c r="E258">
        <f>IF(RIGHT(LeaversJoiners[[#This Row],[Code]],1)=")",1,0)</f>
        <v>0</v>
      </c>
      <c r="F258" t="str">
        <f>IF(LeaversJoiners[[#This Row],[Sütun1]]=1,LEFT(LeaversJoiners[[#This Row],[Code]],FIND("^",LeaversJoiners[[#This Row],[Code]])-1),LeaversJoiners[[#This Row],[Code]])</f>
        <v xml:space="preserve">BMSCH.IS </v>
      </c>
    </row>
    <row r="259" spans="1:6" x14ac:dyDescent="0.25">
      <c r="A259" t="s">
        <v>4</v>
      </c>
      <c r="B259" t="s">
        <v>480</v>
      </c>
      <c r="C259" t="s">
        <v>481</v>
      </c>
      <c r="D259" s="2">
        <v>44354</v>
      </c>
      <c r="E259">
        <f>IF(RIGHT(LeaversJoiners[[#This Row],[Code]],1)=")",1,0)</f>
        <v>0</v>
      </c>
      <c r="F259" t="str">
        <f>IF(LeaversJoiners[[#This Row],[Sütun1]]=1,LEFT(LeaversJoiners[[#This Row],[Code]],FIND("^",LeaversJoiners[[#This Row],[Code]])-1),LeaversJoiners[[#This Row],[Code]])</f>
        <v xml:space="preserve">UNLU.IS </v>
      </c>
    </row>
    <row r="260" spans="1:6" x14ac:dyDescent="0.25">
      <c r="A260" t="s">
        <v>4</v>
      </c>
      <c r="B260" t="s">
        <v>482</v>
      </c>
      <c r="C260" t="s">
        <v>483</v>
      </c>
      <c r="D260" s="2">
        <v>44351</v>
      </c>
      <c r="E260">
        <f>IF(RIGHT(LeaversJoiners[[#This Row],[Code]],1)=")",1,0)</f>
        <v>0</v>
      </c>
      <c r="F260" t="str">
        <f>IF(LeaversJoiners[[#This Row],[Sütun1]]=1,LEFT(LeaversJoiners[[#This Row],[Code]],FIND("^",LeaversJoiners[[#This Row],[Code]])-1),LeaversJoiners[[#This Row],[Code]])</f>
        <v xml:space="preserve">ATATP.IS </v>
      </c>
    </row>
    <row r="261" spans="1:6" x14ac:dyDescent="0.25">
      <c r="A261" t="s">
        <v>4</v>
      </c>
      <c r="B261" t="s">
        <v>484</v>
      </c>
      <c r="C261" t="s">
        <v>485</v>
      </c>
      <c r="D261" s="2">
        <v>44350</v>
      </c>
      <c r="E261">
        <f>IF(RIGHT(LeaversJoiners[[#This Row],[Code]],1)=")",1,0)</f>
        <v>0</v>
      </c>
      <c r="F261" t="str">
        <f>IF(LeaversJoiners[[#This Row],[Sütun1]]=1,LEFT(LeaversJoiners[[#This Row],[Code]],FIND("^",LeaversJoiners[[#This Row],[Code]])-1),LeaversJoiners[[#This Row],[Code]])</f>
        <v xml:space="preserve">BOBET.IS </v>
      </c>
    </row>
    <row r="262" spans="1:6" x14ac:dyDescent="0.25">
      <c r="A262" t="s">
        <v>4</v>
      </c>
      <c r="B262" t="s">
        <v>486</v>
      </c>
      <c r="C262" t="s">
        <v>487</v>
      </c>
      <c r="D262" s="2">
        <v>44350</v>
      </c>
      <c r="E262">
        <f>IF(RIGHT(LeaversJoiners[[#This Row],[Code]],1)=")",1,0)</f>
        <v>0</v>
      </c>
      <c r="F262" t="str">
        <f>IF(LeaversJoiners[[#This Row],[Sütun1]]=1,LEFT(LeaversJoiners[[#This Row],[Code]],FIND("^",LeaversJoiners[[#This Row],[Code]])-1),LeaversJoiners[[#This Row],[Code]])</f>
        <v xml:space="preserve">EPLAS.IS </v>
      </c>
    </row>
    <row r="263" spans="1:6" x14ac:dyDescent="0.25">
      <c r="A263" t="s">
        <v>4</v>
      </c>
      <c r="B263" t="s">
        <v>488</v>
      </c>
      <c r="C263" t="s">
        <v>489</v>
      </c>
      <c r="D263" s="2">
        <v>44350</v>
      </c>
      <c r="E263">
        <f>IF(RIGHT(LeaversJoiners[[#This Row],[Code]],1)=")",1,0)</f>
        <v>0</v>
      </c>
      <c r="F263" t="str">
        <f>IF(LeaversJoiners[[#This Row],[Sütun1]]=1,LEFT(LeaversJoiners[[#This Row],[Code]],FIND("^",LeaversJoiners[[#This Row],[Code]])-1),LeaversJoiners[[#This Row],[Code]])</f>
        <v xml:space="preserve">MZHLD.IS </v>
      </c>
    </row>
    <row r="264" spans="1:6" x14ac:dyDescent="0.25">
      <c r="A264" t="s">
        <v>4</v>
      </c>
      <c r="B264" t="s">
        <v>490</v>
      </c>
      <c r="C264" t="s">
        <v>491</v>
      </c>
      <c r="D264" s="2">
        <v>44343</v>
      </c>
      <c r="E264">
        <f>IF(RIGHT(LeaversJoiners[[#This Row],[Code]],1)=")",1,0)</f>
        <v>0</v>
      </c>
      <c r="F264" t="str">
        <f>IF(LeaversJoiners[[#This Row],[Sütun1]]=1,LEFT(LeaversJoiners[[#This Row],[Code]],FIND("^",LeaversJoiners[[#This Row],[Code]])-1),LeaversJoiners[[#This Row],[Code]])</f>
        <v xml:space="preserve">MERCN.IS </v>
      </c>
    </row>
    <row r="265" spans="1:6" x14ac:dyDescent="0.25">
      <c r="A265" t="s">
        <v>4</v>
      </c>
      <c r="B265" t="s">
        <v>492</v>
      </c>
      <c r="C265" t="s">
        <v>493</v>
      </c>
      <c r="D265" s="2">
        <v>44334</v>
      </c>
      <c r="E265">
        <f>IF(RIGHT(LeaversJoiners[[#This Row],[Code]],1)=")",1,0)</f>
        <v>0</v>
      </c>
      <c r="F265" t="str">
        <f>IF(LeaversJoiners[[#This Row],[Sütun1]]=1,LEFT(LeaversJoiners[[#This Row],[Code]],FIND("^",LeaversJoiners[[#This Row],[Code]])-1),LeaversJoiners[[#This Row],[Code]])</f>
        <v xml:space="preserve">KLKIM.IS </v>
      </c>
    </row>
    <row r="266" spans="1:6" x14ac:dyDescent="0.25">
      <c r="A266" t="s">
        <v>4</v>
      </c>
      <c r="B266" t="s">
        <v>494</v>
      </c>
      <c r="C266" t="s">
        <v>495</v>
      </c>
      <c r="D266" s="2">
        <v>44333</v>
      </c>
      <c r="E266">
        <f>IF(RIGHT(LeaversJoiners[[#This Row],[Code]],1)=")",1,0)</f>
        <v>0</v>
      </c>
      <c r="F266" t="str">
        <f>IF(LeaversJoiners[[#This Row],[Sütun1]]=1,LEFT(LeaversJoiners[[#This Row],[Code]],FIND("^",LeaversJoiners[[#This Row],[Code]])-1),LeaversJoiners[[#This Row],[Code]])</f>
        <v xml:space="preserve">PENTA.IS </v>
      </c>
    </row>
    <row r="267" spans="1:6" x14ac:dyDescent="0.25">
      <c r="A267" t="s">
        <v>4</v>
      </c>
      <c r="B267" t="s">
        <v>496</v>
      </c>
      <c r="C267" t="s">
        <v>497</v>
      </c>
      <c r="D267" s="2">
        <v>44322</v>
      </c>
      <c r="E267">
        <f>IF(RIGHT(LeaversJoiners[[#This Row],[Code]],1)=")",1,0)</f>
        <v>0</v>
      </c>
      <c r="F267" t="str">
        <f>IF(LeaversJoiners[[#This Row],[Sütun1]]=1,LEFT(LeaversJoiners[[#This Row],[Code]],FIND("^",LeaversJoiners[[#This Row],[Code]])-1),LeaversJoiners[[#This Row],[Code]])</f>
        <v xml:space="preserve">ZRGYO.IS </v>
      </c>
    </row>
    <row r="268" spans="1:6" x14ac:dyDescent="0.25">
      <c r="A268" t="s">
        <v>4</v>
      </c>
      <c r="B268" t="s">
        <v>498</v>
      </c>
      <c r="C268" t="s">
        <v>499</v>
      </c>
      <c r="D268" s="2">
        <v>44316</v>
      </c>
      <c r="E268">
        <f>IF(RIGHT(LeaversJoiners[[#This Row],[Code]],1)=")",1,0)</f>
        <v>0</v>
      </c>
      <c r="F268" t="str">
        <f>IF(LeaversJoiners[[#This Row],[Sütun1]]=1,LEFT(LeaversJoiners[[#This Row],[Code]],FIND("^",LeaversJoiners[[#This Row],[Code]])-1),LeaversJoiners[[#This Row],[Code]])</f>
        <v xml:space="preserve">CANTE.IS </v>
      </c>
    </row>
    <row r="269" spans="1:6" x14ac:dyDescent="0.25">
      <c r="A269" t="s">
        <v>4</v>
      </c>
      <c r="B269" t="s">
        <v>500</v>
      </c>
      <c r="C269" t="s">
        <v>501</v>
      </c>
      <c r="D269" s="2">
        <v>44315</v>
      </c>
      <c r="E269">
        <f>IF(RIGHT(LeaversJoiners[[#This Row],[Code]],1)=")",1,0)</f>
        <v>0</v>
      </c>
      <c r="F269" t="str">
        <f>IF(LeaversJoiners[[#This Row],[Sütun1]]=1,LEFT(LeaversJoiners[[#This Row],[Code]],FIND("^",LeaversJoiners[[#This Row],[Code]])-1),LeaversJoiners[[#This Row],[Code]])</f>
        <v xml:space="preserve">AYDEM.IS </v>
      </c>
    </row>
    <row r="270" spans="1:6" x14ac:dyDescent="0.25">
      <c r="A270" t="s">
        <v>4</v>
      </c>
      <c r="B270" t="s">
        <v>502</v>
      </c>
      <c r="C270" t="s">
        <v>503</v>
      </c>
      <c r="D270" s="2">
        <v>44314</v>
      </c>
      <c r="E270">
        <f>IF(RIGHT(LeaversJoiners[[#This Row],[Code]],1)=")",1,0)</f>
        <v>0</v>
      </c>
      <c r="F270" t="str">
        <f>IF(LeaversJoiners[[#This Row],[Sütun1]]=1,LEFT(LeaversJoiners[[#This Row],[Code]],FIND("^",LeaversJoiners[[#This Row],[Code]])-1),LeaversJoiners[[#This Row],[Code]])</f>
        <v xml:space="preserve">BIOEN.IS </v>
      </c>
    </row>
    <row r="271" spans="1:6" x14ac:dyDescent="0.25">
      <c r="A271" t="s">
        <v>4</v>
      </c>
      <c r="B271" t="s">
        <v>504</v>
      </c>
      <c r="C271" t="s">
        <v>505</v>
      </c>
      <c r="D271" s="2">
        <v>44308</v>
      </c>
      <c r="E271">
        <f>IF(RIGHT(LeaversJoiners[[#This Row],[Code]],1)=")",1,0)</f>
        <v>0</v>
      </c>
      <c r="F271" t="str">
        <f>IF(LeaversJoiners[[#This Row],[Sütun1]]=1,LEFT(LeaversJoiners[[#This Row],[Code]],FIND("^",LeaversJoiners[[#This Row],[Code]])-1),LeaversJoiners[[#This Row],[Code]])</f>
        <v xml:space="preserve">GWIND.IS </v>
      </c>
    </row>
    <row r="272" spans="1:6" x14ac:dyDescent="0.25">
      <c r="A272" t="s">
        <v>4</v>
      </c>
      <c r="B272" t="s">
        <v>506</v>
      </c>
      <c r="C272" t="s">
        <v>507</v>
      </c>
      <c r="D272" s="2">
        <v>44295</v>
      </c>
      <c r="E272">
        <f>IF(RIGHT(LeaversJoiners[[#This Row],[Code]],1)=")",1,0)</f>
        <v>0</v>
      </c>
      <c r="F272" t="str">
        <f>IF(LeaversJoiners[[#This Row],[Sütun1]]=1,LEFT(LeaversJoiners[[#This Row],[Code]],FIND("^",LeaversJoiners[[#This Row],[Code]])-1),LeaversJoiners[[#This Row],[Code]])</f>
        <v xml:space="preserve">QUAGR.IS </v>
      </c>
    </row>
    <row r="273" spans="1:6" x14ac:dyDescent="0.25">
      <c r="A273" t="s">
        <v>4</v>
      </c>
      <c r="B273" t="s">
        <v>508</v>
      </c>
      <c r="C273" t="s">
        <v>509</v>
      </c>
      <c r="D273" s="2">
        <v>44294</v>
      </c>
      <c r="E273">
        <f>IF(RIGHT(LeaversJoiners[[#This Row],[Code]],1)=")",1,0)</f>
        <v>0</v>
      </c>
      <c r="F273" t="str">
        <f>IF(LeaversJoiners[[#This Row],[Sütun1]]=1,LEFT(LeaversJoiners[[#This Row],[Code]],FIND("^",LeaversJoiners[[#This Row],[Code]])-1),LeaversJoiners[[#This Row],[Code]])</f>
        <v xml:space="preserve">TUREX.IS </v>
      </c>
    </row>
    <row r="274" spans="1:6" x14ac:dyDescent="0.25">
      <c r="A274" t="s">
        <v>4</v>
      </c>
      <c r="B274" t="s">
        <v>510</v>
      </c>
      <c r="C274" t="s">
        <v>511</v>
      </c>
      <c r="D274" s="2">
        <v>44292</v>
      </c>
      <c r="E274">
        <f>IF(RIGHT(LeaversJoiners[[#This Row],[Code]],1)=")",1,0)</f>
        <v>0</v>
      </c>
      <c r="F274" t="str">
        <f>IF(LeaversJoiners[[#This Row],[Sütun1]]=1,LEFT(LeaversJoiners[[#This Row],[Code]],FIND("^",LeaversJoiners[[#This Row],[Code]])-1),LeaversJoiners[[#This Row],[Code]])</f>
        <v xml:space="preserve">MTRKS.IS </v>
      </c>
    </row>
    <row r="275" spans="1:6" x14ac:dyDescent="0.25">
      <c r="A275" t="s">
        <v>29</v>
      </c>
      <c r="B275" t="s">
        <v>424</v>
      </c>
      <c r="C275" t="s">
        <v>425</v>
      </c>
      <c r="D275" s="2">
        <v>44287</v>
      </c>
      <c r="E275">
        <f>IF(RIGHT(LeaversJoiners[[#This Row],[Code]],1)=")",1,0)</f>
        <v>0</v>
      </c>
      <c r="F275" t="str">
        <f>IF(LeaversJoiners[[#This Row],[Sütun1]]=1,LEFT(LeaversJoiners[[#This Row],[Code]],FIND("^",LeaversJoiners[[#This Row],[Code]])-1),LeaversJoiners[[#This Row],[Code]])</f>
        <v xml:space="preserve">DOKTA.IS </v>
      </c>
    </row>
    <row r="276" spans="1:6" x14ac:dyDescent="0.25">
      <c r="A276" t="s">
        <v>4</v>
      </c>
      <c r="B276" t="s">
        <v>512</v>
      </c>
      <c r="C276" t="s">
        <v>513</v>
      </c>
      <c r="D276" s="2">
        <v>44287</v>
      </c>
      <c r="E276">
        <f>IF(RIGHT(LeaversJoiners[[#This Row],[Code]],1)=")",1,0)</f>
        <v>0</v>
      </c>
      <c r="F276" t="str">
        <f>IF(LeaversJoiners[[#This Row],[Sütun1]]=1,LEFT(LeaversJoiners[[#This Row],[Code]],FIND("^",LeaversJoiners[[#This Row],[Code]])-1),LeaversJoiners[[#This Row],[Code]])</f>
        <v xml:space="preserve">NTGAZ.IS </v>
      </c>
    </row>
    <row r="277" spans="1:6" x14ac:dyDescent="0.25">
      <c r="A277" t="s">
        <v>29</v>
      </c>
      <c r="B277" t="s">
        <v>78</v>
      </c>
      <c r="C277" t="s">
        <v>79</v>
      </c>
      <c r="D277" s="2">
        <v>44287</v>
      </c>
      <c r="E277">
        <f>IF(RIGHT(LeaversJoiners[[#This Row],[Code]],1)=")",1,0)</f>
        <v>0</v>
      </c>
      <c r="F277" t="str">
        <f>IF(LeaversJoiners[[#This Row],[Sütun1]]=1,LEFT(LeaversJoiners[[#This Row],[Code]],FIND("^",LeaversJoiners[[#This Row],[Code]])-1),LeaversJoiners[[#This Row],[Code]])</f>
        <v xml:space="preserve">SNPAM.IS </v>
      </c>
    </row>
    <row r="278" spans="1:6" x14ac:dyDescent="0.25">
      <c r="A278" t="s">
        <v>29</v>
      </c>
      <c r="B278" t="s">
        <v>294</v>
      </c>
      <c r="C278" t="s">
        <v>295</v>
      </c>
      <c r="D278" s="2">
        <v>44287</v>
      </c>
      <c r="E278">
        <f>IF(RIGHT(LeaversJoiners[[#This Row],[Code]],1)=")",1,0)</f>
        <v>0</v>
      </c>
      <c r="F278" t="str">
        <f>IF(LeaversJoiners[[#This Row],[Sütun1]]=1,LEFT(LeaversJoiners[[#This Row],[Code]],FIND("^",LeaversJoiners[[#This Row],[Code]])-1),LeaversJoiners[[#This Row],[Code]])</f>
        <v xml:space="preserve">ZEDUR.IS </v>
      </c>
    </row>
    <row r="279" spans="1:6" x14ac:dyDescent="0.25">
      <c r="A279" t="s">
        <v>4</v>
      </c>
      <c r="B279" t="s">
        <v>514</v>
      </c>
      <c r="C279" t="s">
        <v>515</v>
      </c>
      <c r="D279" s="2">
        <v>44284</v>
      </c>
      <c r="E279">
        <f>IF(RIGHT(LeaversJoiners[[#This Row],[Code]],1)=")",1,0)</f>
        <v>0</v>
      </c>
      <c r="F279" t="str">
        <f>IF(LeaversJoiners[[#This Row],[Sütun1]]=1,LEFT(LeaversJoiners[[#This Row],[Code]],FIND("^",LeaversJoiners[[#This Row],[Code]])-1),LeaversJoiners[[#This Row],[Code]])</f>
        <v xml:space="preserve">DUNYH.IS </v>
      </c>
    </row>
    <row r="280" spans="1:6" x14ac:dyDescent="0.25">
      <c r="A280" t="s">
        <v>4</v>
      </c>
      <c r="B280" t="s">
        <v>516</v>
      </c>
      <c r="C280" t="s">
        <v>517</v>
      </c>
      <c r="D280" s="2">
        <v>44260</v>
      </c>
      <c r="E280">
        <f>IF(RIGHT(LeaversJoiners[[#This Row],[Code]],1)=")",1,0)</f>
        <v>0</v>
      </c>
      <c r="F280" t="str">
        <f>IF(LeaversJoiners[[#This Row],[Sütun1]]=1,LEFT(LeaversJoiners[[#This Row],[Code]],FIND("^",LeaversJoiners[[#This Row],[Code]])-1),LeaversJoiners[[#This Row],[Code]])</f>
        <v xml:space="preserve">TRILC.IS </v>
      </c>
    </row>
    <row r="281" spans="1:6" x14ac:dyDescent="0.25">
      <c r="A281" t="s">
        <v>4</v>
      </c>
      <c r="B281" t="s">
        <v>518</v>
      </c>
      <c r="C281" t="s">
        <v>519</v>
      </c>
      <c r="D281" s="2">
        <v>44258</v>
      </c>
      <c r="E281">
        <f>IF(RIGHT(LeaversJoiners[[#This Row],[Code]],1)=")",1,0)</f>
        <v>0</v>
      </c>
      <c r="F281" t="str">
        <f>IF(LeaversJoiners[[#This Row],[Sütun1]]=1,LEFT(LeaversJoiners[[#This Row],[Code]],FIND("^",LeaversJoiners[[#This Row],[Code]])-1),LeaversJoiners[[#This Row],[Code]])</f>
        <v xml:space="preserve">PAMEL.IS </v>
      </c>
    </row>
    <row r="282" spans="1:6" x14ac:dyDescent="0.25">
      <c r="A282" t="s">
        <v>4</v>
      </c>
      <c r="B282" t="s">
        <v>520</v>
      </c>
      <c r="C282" t="s">
        <v>521</v>
      </c>
      <c r="D282" s="2">
        <v>44250</v>
      </c>
      <c r="E282">
        <f>IF(RIGHT(LeaversJoiners[[#This Row],[Code]],1)=")",1,0)</f>
        <v>0</v>
      </c>
      <c r="F282" t="str">
        <f>IF(LeaversJoiners[[#This Row],[Sütun1]]=1,LEFT(LeaversJoiners[[#This Row],[Code]],FIND("^",LeaversJoiners[[#This Row],[Code]])-1),LeaversJoiners[[#This Row],[Code]])</f>
        <v xml:space="preserve">DARDL.IS </v>
      </c>
    </row>
    <row r="283" spans="1:6" x14ac:dyDescent="0.25">
      <c r="A283" t="s">
        <v>4</v>
      </c>
      <c r="B283" t="s">
        <v>522</v>
      </c>
      <c r="C283" t="s">
        <v>523</v>
      </c>
      <c r="D283" s="2">
        <v>44224</v>
      </c>
      <c r="E283">
        <f>IF(RIGHT(LeaversJoiners[[#This Row],[Code]],1)=")",1,0)</f>
        <v>0</v>
      </c>
      <c r="F283" t="str">
        <f>IF(LeaversJoiners[[#This Row],[Sütun1]]=1,LEFT(LeaversJoiners[[#This Row],[Code]],FIND("^",LeaversJoiners[[#This Row],[Code]])-1),LeaversJoiners[[#This Row],[Code]])</f>
        <v xml:space="preserve">ISKPL.IS </v>
      </c>
    </row>
    <row r="284" spans="1:6" x14ac:dyDescent="0.25">
      <c r="A284" t="s">
        <v>29</v>
      </c>
      <c r="B284" t="s">
        <v>60</v>
      </c>
      <c r="C284" t="s">
        <v>61</v>
      </c>
      <c r="D284" s="2">
        <v>44200</v>
      </c>
      <c r="E284">
        <f>IF(RIGHT(LeaversJoiners[[#This Row],[Code]],1)=")",1,0)</f>
        <v>0</v>
      </c>
      <c r="F284" t="str">
        <f>IF(LeaversJoiners[[#This Row],[Sütun1]]=1,LEFT(LeaversJoiners[[#This Row],[Code]],FIND("^",LeaversJoiners[[#This Row],[Code]])-1),LeaversJoiners[[#This Row],[Code]])</f>
        <v xml:space="preserve">CMENT.IS </v>
      </c>
    </row>
    <row r="285" spans="1:6" x14ac:dyDescent="0.25">
      <c r="A285" t="s">
        <v>29</v>
      </c>
      <c r="B285" t="s">
        <v>66</v>
      </c>
      <c r="C285" t="s">
        <v>67</v>
      </c>
      <c r="D285" s="2">
        <v>44200</v>
      </c>
      <c r="E285">
        <f>IF(RIGHT(LeaversJoiners[[#This Row],[Code]],1)=")",1,0)</f>
        <v>0</v>
      </c>
      <c r="F285" t="str">
        <f>IF(LeaversJoiners[[#This Row],[Sütun1]]=1,LEFT(LeaversJoiners[[#This Row],[Code]],FIND("^",LeaversJoiners[[#This Row],[Code]])-1),LeaversJoiners[[#This Row],[Code]])</f>
        <v xml:space="preserve">KENT.IS </v>
      </c>
    </row>
    <row r="286" spans="1:6" x14ac:dyDescent="0.25">
      <c r="A286" t="s">
        <v>29</v>
      </c>
      <c r="B286" t="s">
        <v>72</v>
      </c>
      <c r="C286" t="s">
        <v>73</v>
      </c>
      <c r="D286" s="2">
        <v>44200</v>
      </c>
      <c r="E286">
        <f>IF(RIGHT(LeaversJoiners[[#This Row],[Code]],1)=")",1,0)</f>
        <v>0</v>
      </c>
      <c r="F286" t="str">
        <f>IF(LeaversJoiners[[#This Row],[Sütun1]]=1,LEFT(LeaversJoiners[[#This Row],[Code]],FIND("^",LeaversJoiners[[#This Row],[Code]])-1),LeaversJoiners[[#This Row],[Code]])</f>
        <v xml:space="preserve">QNBTR.IS </v>
      </c>
    </row>
    <row r="287" spans="1:6" x14ac:dyDescent="0.25">
      <c r="A287" t="s">
        <v>29</v>
      </c>
      <c r="B287" t="s">
        <v>74</v>
      </c>
      <c r="C287" t="s">
        <v>75</v>
      </c>
      <c r="D287" s="2">
        <v>44200</v>
      </c>
      <c r="E287">
        <f>IF(RIGHT(LeaversJoiners[[#This Row],[Code]],1)=")",1,0)</f>
        <v>0</v>
      </c>
      <c r="F287" t="str">
        <f>IF(LeaversJoiners[[#This Row],[Sütun1]]=1,LEFT(LeaversJoiners[[#This Row],[Code]],FIND("^",LeaversJoiners[[#This Row],[Code]])-1),LeaversJoiners[[#This Row],[Code]])</f>
        <v xml:space="preserve">QNBFK.IS </v>
      </c>
    </row>
    <row r="288" spans="1:6" x14ac:dyDescent="0.25">
      <c r="A288" t="s">
        <v>29</v>
      </c>
      <c r="B288" t="s">
        <v>206</v>
      </c>
      <c r="C288" t="s">
        <v>207</v>
      </c>
      <c r="D288" s="2">
        <v>44200</v>
      </c>
      <c r="E288">
        <f>IF(RIGHT(LeaversJoiners[[#This Row],[Code]],1)=")",1,0)</f>
        <v>0</v>
      </c>
      <c r="F288" t="str">
        <f>IF(LeaversJoiners[[#This Row],[Sütun1]]=1,LEFT(LeaversJoiners[[#This Row],[Code]],FIND("^",LeaversJoiners[[#This Row],[Code]])-1),LeaversJoiners[[#This Row],[Code]])</f>
        <v xml:space="preserve">TBORG.IS </v>
      </c>
    </row>
    <row r="289" spans="1:6" x14ac:dyDescent="0.25">
      <c r="A289" t="s">
        <v>29</v>
      </c>
      <c r="B289" t="s">
        <v>82</v>
      </c>
      <c r="C289" t="s">
        <v>83</v>
      </c>
      <c r="D289" s="2">
        <v>44200</v>
      </c>
      <c r="E289">
        <f>IF(RIGHT(LeaversJoiners[[#This Row],[Code]],1)=")",1,0)</f>
        <v>0</v>
      </c>
      <c r="F289" t="str">
        <f>IF(LeaversJoiners[[#This Row],[Sütun1]]=1,LEFT(LeaversJoiners[[#This Row],[Code]],FIND("^",LeaversJoiners[[#This Row],[Code]])-1),LeaversJoiners[[#This Row],[Code]])</f>
        <v xml:space="preserve">KLNMA.IS </v>
      </c>
    </row>
    <row r="290" spans="1:6" x14ac:dyDescent="0.25">
      <c r="A290" t="s">
        <v>29</v>
      </c>
      <c r="B290" t="s">
        <v>524</v>
      </c>
      <c r="C290" t="s">
        <v>525</v>
      </c>
      <c r="D290" s="2">
        <v>44196</v>
      </c>
      <c r="E290">
        <f>IF(RIGHT(LeaversJoiners[[#This Row],[Code]],1)=")",1,0)</f>
        <v>0</v>
      </c>
      <c r="F290" t="str">
        <f>IF(LeaversJoiners[[#This Row],[Sütun1]]=1,LEFT(LeaversJoiners[[#This Row],[Code]],FIND("^",LeaversJoiners[[#This Row],[Code]])-1),LeaversJoiners[[#This Row],[Code]])</f>
        <v xml:space="preserve">BRMEN.IS </v>
      </c>
    </row>
    <row r="291" spans="1:6" x14ac:dyDescent="0.25">
      <c r="A291" t="s">
        <v>4</v>
      </c>
      <c r="B291" t="s">
        <v>526</v>
      </c>
      <c r="C291" t="s">
        <v>527</v>
      </c>
      <c r="D291" s="2">
        <v>44189</v>
      </c>
      <c r="E291">
        <f>IF(RIGHT(LeaversJoiners[[#This Row],[Code]],1)=")",1,0)</f>
        <v>0</v>
      </c>
      <c r="F291" t="str">
        <f>IF(LeaversJoiners[[#This Row],[Sütun1]]=1,LEFT(LeaversJoiners[[#This Row],[Code]],FIND("^",LeaversJoiners[[#This Row],[Code]])-1),LeaversJoiners[[#This Row],[Code]])</f>
        <v xml:space="preserve">ARZUM.IS </v>
      </c>
    </row>
    <row r="292" spans="1:6" x14ac:dyDescent="0.25">
      <c r="A292" t="s">
        <v>4</v>
      </c>
      <c r="B292" t="s">
        <v>528</v>
      </c>
      <c r="C292" t="s">
        <v>529</v>
      </c>
      <c r="D292" s="2">
        <v>44169</v>
      </c>
      <c r="E292">
        <f>IF(RIGHT(LeaversJoiners[[#This Row],[Code]],1)=")",1,0)</f>
        <v>0</v>
      </c>
      <c r="F292" t="str">
        <f>IF(LeaversJoiners[[#This Row],[Sütun1]]=1,LEFT(LeaversJoiners[[#This Row],[Code]],FIND("^",LeaversJoiners[[#This Row],[Code]])-1),LeaversJoiners[[#This Row],[Code]])</f>
        <v xml:space="preserve">KRVGD.IS </v>
      </c>
    </row>
    <row r="293" spans="1:6" x14ac:dyDescent="0.25">
      <c r="A293" t="s">
        <v>4</v>
      </c>
      <c r="B293" t="s">
        <v>530</v>
      </c>
      <c r="C293" t="s">
        <v>531</v>
      </c>
      <c r="D293" s="2">
        <v>44165</v>
      </c>
      <c r="E293">
        <f>IF(RIGHT(LeaversJoiners[[#This Row],[Code]],1)=")",1,0)</f>
        <v>0</v>
      </c>
      <c r="F293" t="str">
        <f>IF(LeaversJoiners[[#This Row],[Sütun1]]=1,LEFT(LeaversJoiners[[#This Row],[Code]],FIND("^",LeaversJoiners[[#This Row],[Code]])-1),LeaversJoiners[[#This Row],[Code]])</f>
        <v xml:space="preserve">FRIGO.IS </v>
      </c>
    </row>
    <row r="294" spans="1:6" x14ac:dyDescent="0.25">
      <c r="A294" t="s">
        <v>4</v>
      </c>
      <c r="B294" t="s">
        <v>532</v>
      </c>
      <c r="C294" t="s">
        <v>533</v>
      </c>
      <c r="D294" s="2">
        <v>44123</v>
      </c>
      <c r="E294">
        <f>IF(RIGHT(LeaversJoiners[[#This Row],[Code]],1)=")",1,0)</f>
        <v>0</v>
      </c>
      <c r="F294" t="str">
        <f>IF(LeaversJoiners[[#This Row],[Sütun1]]=1,LEFT(LeaversJoiners[[#This Row],[Code]],FIND("^",LeaversJoiners[[#This Row],[Code]])-1),LeaversJoiners[[#This Row],[Code]])</f>
        <v xml:space="preserve">KONTR.IS </v>
      </c>
    </row>
    <row r="295" spans="1:6" x14ac:dyDescent="0.25">
      <c r="A295" t="s">
        <v>4</v>
      </c>
      <c r="B295" t="s">
        <v>534</v>
      </c>
      <c r="C295" t="s">
        <v>535</v>
      </c>
      <c r="D295" s="2">
        <v>44113</v>
      </c>
      <c r="E295">
        <f>IF(RIGHT(LeaversJoiners[[#This Row],[Code]],1)=")",1,0)</f>
        <v>0</v>
      </c>
      <c r="F295" t="str">
        <f>IF(LeaversJoiners[[#This Row],[Sütun1]]=1,LEFT(LeaversJoiners[[#This Row],[Code]],FIND("^",LeaversJoiners[[#This Row],[Code]])-1),LeaversJoiners[[#This Row],[Code]])</f>
        <v xml:space="preserve">ESEN.IS </v>
      </c>
    </row>
    <row r="296" spans="1:6" x14ac:dyDescent="0.25">
      <c r="A296" t="s">
        <v>29</v>
      </c>
      <c r="B296" t="s">
        <v>536</v>
      </c>
      <c r="C296" t="s">
        <v>537</v>
      </c>
      <c r="D296" s="2">
        <v>44105</v>
      </c>
      <c r="E296">
        <f>IF(RIGHT(LeaversJoiners[[#This Row],[Code]],1)=")",1,0)</f>
        <v>1</v>
      </c>
      <c r="F296" t="str">
        <f>IF(LeaversJoiners[[#This Row],[Sütun1]]=1,LEFT(LeaversJoiners[[#This Row],[Code]],FIND("^",LeaversJoiners[[#This Row],[Code]])-1),LeaversJoiners[[#This Row],[Code]])</f>
        <v>ANACM.IS</v>
      </c>
    </row>
    <row r="297" spans="1:6" x14ac:dyDescent="0.25">
      <c r="A297" t="s">
        <v>29</v>
      </c>
      <c r="B297" t="s">
        <v>538</v>
      </c>
      <c r="C297" t="s">
        <v>539</v>
      </c>
      <c r="D297" s="2">
        <v>44105</v>
      </c>
      <c r="E297">
        <f>IF(RIGHT(LeaversJoiners[[#This Row],[Code]],1)=")",1,0)</f>
        <v>1</v>
      </c>
      <c r="F297" t="str">
        <f>IF(LeaversJoiners[[#This Row],[Sütun1]]=1,LEFT(LeaversJoiners[[#This Row],[Code]],FIND("^",LeaversJoiners[[#This Row],[Code]])-1),LeaversJoiners[[#This Row],[Code]])</f>
        <v>DENCM.IS</v>
      </c>
    </row>
    <row r="298" spans="1:6" x14ac:dyDescent="0.25">
      <c r="A298" t="s">
        <v>29</v>
      </c>
      <c r="B298" t="s">
        <v>540</v>
      </c>
      <c r="C298" t="s">
        <v>541</v>
      </c>
      <c r="D298" s="2">
        <v>44105</v>
      </c>
      <c r="E298">
        <f>IF(RIGHT(LeaversJoiners[[#This Row],[Code]],1)=")",1,0)</f>
        <v>1</v>
      </c>
      <c r="F298" t="str">
        <f>IF(LeaversJoiners[[#This Row],[Sütun1]]=1,LEFT(LeaversJoiners[[#This Row],[Code]],FIND("^",LeaversJoiners[[#This Row],[Code]])-1),LeaversJoiners[[#This Row],[Code]])</f>
        <v>SODA.IS</v>
      </c>
    </row>
    <row r="299" spans="1:6" x14ac:dyDescent="0.25">
      <c r="A299" t="s">
        <v>29</v>
      </c>
      <c r="B299" t="s">
        <v>542</v>
      </c>
      <c r="C299" t="s">
        <v>543</v>
      </c>
      <c r="D299" s="2">
        <v>44105</v>
      </c>
      <c r="E299">
        <f>IF(RIGHT(LeaversJoiners[[#This Row],[Code]],1)=")",1,0)</f>
        <v>1</v>
      </c>
      <c r="F299" t="str">
        <f>IF(LeaversJoiners[[#This Row],[Sütun1]]=1,LEFT(LeaversJoiners[[#This Row],[Code]],FIND("^",LeaversJoiners[[#This Row],[Code]])-1),LeaversJoiners[[#This Row],[Code]])</f>
        <v>TRKCM.IS</v>
      </c>
    </row>
    <row r="300" spans="1:6" x14ac:dyDescent="0.25">
      <c r="A300" t="s">
        <v>4</v>
      </c>
      <c r="B300" t="s">
        <v>544</v>
      </c>
      <c r="C300" t="s">
        <v>545</v>
      </c>
      <c r="D300" s="2">
        <v>44077</v>
      </c>
      <c r="E300">
        <f>IF(RIGHT(LeaversJoiners[[#This Row],[Code]],1)=")",1,0)</f>
        <v>0</v>
      </c>
      <c r="F300" t="str">
        <f>IF(LeaversJoiners[[#This Row],[Sütun1]]=1,LEFT(LeaversJoiners[[#This Row],[Code]],FIND("^",LeaversJoiners[[#This Row],[Code]])-1),LeaversJoiners[[#This Row],[Code]])</f>
        <v xml:space="preserve">DNISI.IS </v>
      </c>
    </row>
    <row r="301" spans="1:6" x14ac:dyDescent="0.25">
      <c r="A301" t="s">
        <v>4</v>
      </c>
      <c r="B301" t="s">
        <v>546</v>
      </c>
      <c r="C301" t="s">
        <v>547</v>
      </c>
      <c r="D301" s="2">
        <v>44049</v>
      </c>
      <c r="E301">
        <f>IF(RIGHT(LeaversJoiners[[#This Row],[Code]],1)=")",1,0)</f>
        <v>0</v>
      </c>
      <c r="F301" t="str">
        <f>IF(LeaversJoiners[[#This Row],[Sütun1]]=1,LEFT(LeaversJoiners[[#This Row],[Code]],FIND("^",LeaversJoiners[[#This Row],[Code]])-1),LeaversJoiners[[#This Row],[Code]])</f>
        <v xml:space="preserve">FADE.IS </v>
      </c>
    </row>
    <row r="302" spans="1:6" x14ac:dyDescent="0.25">
      <c r="A302" t="s">
        <v>29</v>
      </c>
      <c r="B302" t="s">
        <v>548</v>
      </c>
      <c r="C302" t="s">
        <v>549</v>
      </c>
      <c r="D302" s="2">
        <v>44014</v>
      </c>
      <c r="E302">
        <f>IF(RIGHT(LeaversJoiners[[#This Row],[Code]],1)=")",1,0)</f>
        <v>0</v>
      </c>
      <c r="F302" t="str">
        <f>IF(LeaversJoiners[[#This Row],[Sütun1]]=1,LEFT(LeaversJoiners[[#This Row],[Code]],FIND("^",LeaversJoiners[[#This Row],[Code]])-1),LeaversJoiners[[#This Row],[Code]])</f>
        <v xml:space="preserve">GATEG.IS </v>
      </c>
    </row>
    <row r="303" spans="1:6" x14ac:dyDescent="0.25">
      <c r="A303" t="s">
        <v>29</v>
      </c>
      <c r="B303" t="s">
        <v>360</v>
      </c>
      <c r="C303" t="s">
        <v>361</v>
      </c>
      <c r="D303" s="2">
        <v>44001</v>
      </c>
      <c r="E303">
        <f>IF(RIGHT(LeaversJoiners[[#This Row],[Code]],1)=")",1,0)</f>
        <v>0</v>
      </c>
      <c r="F303" t="str">
        <f>IF(LeaversJoiners[[#This Row],[Sütun1]]=1,LEFT(LeaversJoiners[[#This Row],[Code]],FIND("^",LeaversJoiners[[#This Row],[Code]])-1),LeaversJoiners[[#This Row],[Code]])</f>
        <v xml:space="preserve">DENGE.IS </v>
      </c>
    </row>
    <row r="304" spans="1:6" x14ac:dyDescent="0.25">
      <c r="A304" t="s">
        <v>4</v>
      </c>
      <c r="B304" t="s">
        <v>550</v>
      </c>
      <c r="C304" t="s">
        <v>551</v>
      </c>
      <c r="D304" s="2">
        <v>43987</v>
      </c>
      <c r="E304">
        <f>IF(RIGHT(LeaversJoiners[[#This Row],[Code]],1)=")",1,0)</f>
        <v>0</v>
      </c>
      <c r="F304" t="str">
        <f>IF(LeaversJoiners[[#This Row],[Sütun1]]=1,LEFT(LeaversJoiners[[#This Row],[Code]],FIND("^",LeaversJoiners[[#This Row],[Code]])-1),LeaversJoiners[[#This Row],[Code]])</f>
        <v xml:space="preserve">BAYRK.IS </v>
      </c>
    </row>
    <row r="305" spans="1:6" x14ac:dyDescent="0.25">
      <c r="A305" t="s">
        <v>29</v>
      </c>
      <c r="B305" t="s">
        <v>552</v>
      </c>
      <c r="C305" t="s">
        <v>553</v>
      </c>
      <c r="D305" s="2">
        <v>43972</v>
      </c>
      <c r="E305">
        <f>IF(RIGHT(LeaversJoiners[[#This Row],[Code]],1)=")",1,0)</f>
        <v>1</v>
      </c>
      <c r="F305" t="str">
        <f>IF(LeaversJoiners[[#This Row],[Sütun1]]=1,LEFT(LeaversJoiners[[#This Row],[Code]],FIND("^",LeaversJoiners[[#This Row],[Code]])-1),LeaversJoiners[[#This Row],[Code]])</f>
        <v>ADNAC.IS</v>
      </c>
    </row>
    <row r="306" spans="1:6" x14ac:dyDescent="0.25">
      <c r="A306" t="s">
        <v>29</v>
      </c>
      <c r="B306" t="s">
        <v>552</v>
      </c>
      <c r="C306" t="s">
        <v>554</v>
      </c>
      <c r="D306" s="2">
        <v>43972</v>
      </c>
      <c r="E306">
        <f>IF(RIGHT(LeaversJoiners[[#This Row],[Code]],1)=")",1,0)</f>
        <v>1</v>
      </c>
      <c r="F306" t="str">
        <f>IF(LeaversJoiners[[#This Row],[Sütun1]]=1,LEFT(LeaversJoiners[[#This Row],[Code]],FIND("^",LeaversJoiners[[#This Row],[Code]])-1),LeaversJoiners[[#This Row],[Code]])</f>
        <v>ADBGR.IS</v>
      </c>
    </row>
    <row r="307" spans="1:6" x14ac:dyDescent="0.25">
      <c r="A307" t="s">
        <v>29</v>
      </c>
      <c r="B307" t="s">
        <v>552</v>
      </c>
      <c r="C307" t="s">
        <v>555</v>
      </c>
      <c r="D307" s="2">
        <v>43972</v>
      </c>
      <c r="E307">
        <f>IF(RIGHT(LeaversJoiners[[#This Row],[Code]],1)=")",1,0)</f>
        <v>1</v>
      </c>
      <c r="F307" t="str">
        <f>IF(LeaversJoiners[[#This Row],[Sütun1]]=1,LEFT(LeaversJoiners[[#This Row],[Code]],FIND("^",LeaversJoiners[[#This Row],[Code]])-1),LeaversJoiners[[#This Row],[Code]])</f>
        <v>ADANA.IS</v>
      </c>
    </row>
    <row r="308" spans="1:6" x14ac:dyDescent="0.25">
      <c r="A308" t="s">
        <v>29</v>
      </c>
      <c r="B308" t="s">
        <v>556</v>
      </c>
      <c r="C308" t="s">
        <v>557</v>
      </c>
      <c r="D308" s="2">
        <v>43972</v>
      </c>
      <c r="E308">
        <f>IF(RIGHT(LeaversJoiners[[#This Row],[Code]],1)=")",1,0)</f>
        <v>1</v>
      </c>
      <c r="F308" t="str">
        <f>IF(LeaversJoiners[[#This Row],[Sütun1]]=1,LEFT(LeaversJoiners[[#This Row],[Code]],FIND("^",LeaversJoiners[[#This Row],[Code]])-1),LeaversJoiners[[#This Row],[Code]])</f>
        <v>ASLAN.IS</v>
      </c>
    </row>
    <row r="309" spans="1:6" x14ac:dyDescent="0.25">
      <c r="A309" t="s">
        <v>29</v>
      </c>
      <c r="B309" t="s">
        <v>558</v>
      </c>
      <c r="C309" t="s">
        <v>559</v>
      </c>
      <c r="D309" s="2">
        <v>43972</v>
      </c>
      <c r="E309">
        <f>IF(RIGHT(LeaversJoiners[[#This Row],[Code]],1)=")",1,0)</f>
        <v>1</v>
      </c>
      <c r="F309" t="str">
        <f>IF(LeaversJoiners[[#This Row],[Sütun1]]=1,LEFT(LeaversJoiners[[#This Row],[Code]],FIND("^",LeaversJoiners[[#This Row],[Code]])-1),LeaversJoiners[[#This Row],[Code]])</f>
        <v>BOLUC.IS</v>
      </c>
    </row>
    <row r="310" spans="1:6" x14ac:dyDescent="0.25">
      <c r="A310" t="s">
        <v>29</v>
      </c>
      <c r="B310" t="s">
        <v>560</v>
      </c>
      <c r="C310" t="s">
        <v>561</v>
      </c>
      <c r="D310" s="2">
        <v>43972</v>
      </c>
      <c r="E310">
        <f>IF(RIGHT(LeaversJoiners[[#This Row],[Code]],1)=")",1,0)</f>
        <v>1</v>
      </c>
      <c r="F310" t="str">
        <f>IF(LeaversJoiners[[#This Row],[Sütun1]]=1,LEFT(LeaversJoiners[[#This Row],[Code]],FIND("^",LeaversJoiners[[#This Row],[Code]])-1),LeaversJoiners[[#This Row],[Code]])</f>
        <v>UNYEC.IS</v>
      </c>
    </row>
    <row r="311" spans="1:6" x14ac:dyDescent="0.25">
      <c r="A311" t="s">
        <v>29</v>
      </c>
      <c r="B311" t="s">
        <v>122</v>
      </c>
      <c r="C311" t="s">
        <v>123</v>
      </c>
      <c r="D311" s="2">
        <v>43871</v>
      </c>
      <c r="E311">
        <f>IF(RIGHT(LeaversJoiners[[#This Row],[Code]],1)=")",1,0)</f>
        <v>0</v>
      </c>
      <c r="F311" t="str">
        <f>IF(LeaversJoiners[[#This Row],[Sütun1]]=1,LEFT(LeaversJoiners[[#This Row],[Code]],FIND("^",LeaversJoiners[[#This Row],[Code]])-1),LeaversJoiners[[#This Row],[Code]])</f>
        <v xml:space="preserve">OTTO.IS </v>
      </c>
    </row>
    <row r="312" spans="1:6" x14ac:dyDescent="0.25">
      <c r="A312" t="s">
        <v>4</v>
      </c>
      <c r="B312" t="s">
        <v>562</v>
      </c>
      <c r="C312" t="s">
        <v>563</v>
      </c>
      <c r="D312" s="2">
        <v>43867</v>
      </c>
      <c r="E312">
        <f>IF(RIGHT(LeaversJoiners[[#This Row],[Code]],1)=")",1,0)</f>
        <v>0</v>
      </c>
      <c r="F312" t="str">
        <f>IF(LeaversJoiners[[#This Row],[Sütun1]]=1,LEFT(LeaversJoiners[[#This Row],[Code]],FIND("^",LeaversJoiners[[#This Row],[Code]])-1),LeaversJoiners[[#This Row],[Code]])</f>
        <v xml:space="preserve">ARDYZ.IS </v>
      </c>
    </row>
    <row r="313" spans="1:6" x14ac:dyDescent="0.25">
      <c r="A313" t="s">
        <v>29</v>
      </c>
      <c r="B313" t="s">
        <v>518</v>
      </c>
      <c r="C313" t="s">
        <v>519</v>
      </c>
      <c r="D313" s="2">
        <v>43823</v>
      </c>
      <c r="E313">
        <f>IF(RIGHT(LeaversJoiners[[#This Row],[Code]],1)=")",1,0)</f>
        <v>0</v>
      </c>
      <c r="F313" t="str">
        <f>IF(LeaversJoiners[[#This Row],[Sütun1]]=1,LEFT(LeaversJoiners[[#This Row],[Code]],FIND("^",LeaversJoiners[[#This Row],[Code]])-1),LeaversJoiners[[#This Row],[Code]])</f>
        <v xml:space="preserve">PAMEL.IS </v>
      </c>
    </row>
    <row r="314" spans="1:6" x14ac:dyDescent="0.25">
      <c r="A314" t="s">
        <v>29</v>
      </c>
      <c r="B314" t="s">
        <v>564</v>
      </c>
      <c r="C314" t="s">
        <v>565</v>
      </c>
      <c r="D314" s="2">
        <v>43809</v>
      </c>
      <c r="E314">
        <f>IF(RIGHT(LeaversJoiners[[#This Row],[Code]],1)=")",1,0)</f>
        <v>0</v>
      </c>
      <c r="F314" t="str">
        <f>IF(LeaversJoiners[[#This Row],[Sütun1]]=1,LEFT(LeaversJoiners[[#This Row],[Code]],FIND("^",LeaversJoiners[[#This Row],[Code]])-1),LeaversJoiners[[#This Row],[Code]])</f>
        <v xml:space="preserve">DIRIT.IS </v>
      </c>
    </row>
    <row r="315" spans="1:6" x14ac:dyDescent="0.25">
      <c r="A315" t="s">
        <v>29</v>
      </c>
      <c r="B315" t="s">
        <v>566</v>
      </c>
      <c r="C315" t="s">
        <v>567</v>
      </c>
      <c r="D315" s="2">
        <v>43808</v>
      </c>
      <c r="E315">
        <f>IF(RIGHT(LeaversJoiners[[#This Row],[Code]],1)=")",1,0)</f>
        <v>1</v>
      </c>
      <c r="F315" t="str">
        <f>IF(LeaversJoiners[[#This Row],[Sütun1]]=1,LEFT(LeaversJoiners[[#This Row],[Code]],FIND("^",LeaversJoiners[[#This Row],[Code]])-1),LeaversJoiners[[#This Row],[Code]])</f>
        <v>BOYP.IS</v>
      </c>
    </row>
    <row r="316" spans="1:6" x14ac:dyDescent="0.25">
      <c r="A316" t="s">
        <v>4</v>
      </c>
      <c r="B316" t="s">
        <v>568</v>
      </c>
      <c r="C316" t="s">
        <v>569</v>
      </c>
      <c r="D316" s="2">
        <v>43805</v>
      </c>
      <c r="E316">
        <f>IF(RIGHT(LeaversJoiners[[#This Row],[Code]],1)=")",1,0)</f>
        <v>0</v>
      </c>
      <c r="F316" t="str">
        <f>IF(LeaversJoiners[[#This Row],[Sütun1]]=1,LEFT(LeaversJoiners[[#This Row],[Code]],FIND("^",LeaversJoiners[[#This Row],[Code]])-1),LeaversJoiners[[#This Row],[Code]])</f>
        <v xml:space="preserve">PAPIL.IS </v>
      </c>
    </row>
    <row r="317" spans="1:6" x14ac:dyDescent="0.25">
      <c r="A317" t="s">
        <v>29</v>
      </c>
      <c r="B317" t="s">
        <v>570</v>
      </c>
      <c r="C317" t="s">
        <v>571</v>
      </c>
      <c r="D317" s="2">
        <v>43787</v>
      </c>
      <c r="E317">
        <f>IF(RIGHT(LeaversJoiners[[#This Row],[Code]],1)=")",1,0)</f>
        <v>1</v>
      </c>
      <c r="F317" t="str">
        <f>IF(LeaversJoiners[[#This Row],[Sütun1]]=1,LEFT(LeaversJoiners[[#This Row],[Code]],FIND("^",LeaversJoiners[[#This Row],[Code]])-1),LeaversJoiners[[#This Row],[Code]])</f>
        <v>DENIZ.IS</v>
      </c>
    </row>
    <row r="318" spans="1:6" x14ac:dyDescent="0.25">
      <c r="A318" t="s">
        <v>4</v>
      </c>
      <c r="B318" t="s">
        <v>572</v>
      </c>
      <c r="C318" t="s">
        <v>573</v>
      </c>
      <c r="D318" s="2">
        <v>43783</v>
      </c>
      <c r="E318">
        <f>IF(RIGHT(LeaversJoiners[[#This Row],[Code]],1)=")",1,0)</f>
        <v>0</v>
      </c>
      <c r="F318" t="str">
        <f>IF(LeaversJoiners[[#This Row],[Sütun1]]=1,LEFT(LeaversJoiners[[#This Row],[Code]],FIND("^",LeaversJoiners[[#This Row],[Code]])-1),LeaversJoiners[[#This Row],[Code]])</f>
        <v xml:space="preserve">YKSLN.IS </v>
      </c>
    </row>
    <row r="319" spans="1:6" x14ac:dyDescent="0.25">
      <c r="A319" t="s">
        <v>4</v>
      </c>
      <c r="B319" t="s">
        <v>574</v>
      </c>
      <c r="C319" t="s">
        <v>575</v>
      </c>
      <c r="D319" s="2">
        <v>43773</v>
      </c>
      <c r="E319">
        <f>IF(RIGHT(LeaversJoiners[[#This Row],[Code]],1)=")",1,0)</f>
        <v>0</v>
      </c>
      <c r="F319" t="str">
        <f>IF(LeaversJoiners[[#This Row],[Sütun1]]=1,LEFT(LeaversJoiners[[#This Row],[Code]],FIND("^",LeaversJoiners[[#This Row],[Code]])-1),LeaversJoiners[[#This Row],[Code]])</f>
        <v xml:space="preserve">AYCES.IS </v>
      </c>
    </row>
    <row r="320" spans="1:6" x14ac:dyDescent="0.25">
      <c r="A320" t="s">
        <v>4</v>
      </c>
      <c r="B320" t="s">
        <v>576</v>
      </c>
      <c r="C320" t="s">
        <v>577</v>
      </c>
      <c r="D320" s="2">
        <v>43773</v>
      </c>
      <c r="E320">
        <f>IF(RIGHT(LeaversJoiners[[#This Row],[Code]],1)=")",1,0)</f>
        <v>0</v>
      </c>
      <c r="F320" t="str">
        <f>IF(LeaversJoiners[[#This Row],[Sütun1]]=1,LEFT(LeaversJoiners[[#This Row],[Code]],FIND("^",LeaversJoiners[[#This Row],[Code]])-1),LeaversJoiners[[#This Row],[Code]])</f>
        <v xml:space="preserve">BIGTK.IS </v>
      </c>
    </row>
    <row r="321" spans="1:6" x14ac:dyDescent="0.25">
      <c r="A321" t="s">
        <v>4</v>
      </c>
      <c r="B321" t="s">
        <v>524</v>
      </c>
      <c r="C321" t="s">
        <v>525</v>
      </c>
      <c r="D321" s="2">
        <v>43773</v>
      </c>
      <c r="E321">
        <f>IF(RIGHT(LeaversJoiners[[#This Row],[Code]],1)=")",1,0)</f>
        <v>0</v>
      </c>
      <c r="F321" t="str">
        <f>IF(LeaversJoiners[[#This Row],[Sütun1]]=1,LEFT(LeaversJoiners[[#This Row],[Code]],FIND("^",LeaversJoiners[[#This Row],[Code]])-1),LeaversJoiners[[#This Row],[Code]])</f>
        <v xml:space="preserve">BRMEN.IS </v>
      </c>
    </row>
    <row r="322" spans="1:6" x14ac:dyDescent="0.25">
      <c r="A322" t="s">
        <v>4</v>
      </c>
      <c r="B322" t="s">
        <v>578</v>
      </c>
      <c r="C322" t="s">
        <v>579</v>
      </c>
      <c r="D322" s="2">
        <v>43773</v>
      </c>
      <c r="E322">
        <f>IF(RIGHT(LeaversJoiners[[#This Row],[Code]],1)=")",1,0)</f>
        <v>0</v>
      </c>
      <c r="F322" t="str">
        <f>IF(LeaversJoiners[[#This Row],[Sütun1]]=1,LEFT(LeaversJoiners[[#This Row],[Code]],FIND("^",LeaversJoiners[[#This Row],[Code]])-1),LeaversJoiners[[#This Row],[Code]])</f>
        <v xml:space="preserve">BURVA.IS </v>
      </c>
    </row>
    <row r="323" spans="1:6" x14ac:dyDescent="0.25">
      <c r="A323" t="s">
        <v>4</v>
      </c>
      <c r="B323" t="s">
        <v>564</v>
      </c>
      <c r="C323" t="s">
        <v>565</v>
      </c>
      <c r="D323" s="2">
        <v>43773</v>
      </c>
      <c r="E323">
        <f>IF(RIGHT(LeaversJoiners[[#This Row],[Code]],1)=")",1,0)</f>
        <v>0</v>
      </c>
      <c r="F323" t="str">
        <f>IF(LeaversJoiners[[#This Row],[Sütun1]]=1,LEFT(LeaversJoiners[[#This Row],[Code]],FIND("^",LeaversJoiners[[#This Row],[Code]])-1),LeaversJoiners[[#This Row],[Code]])</f>
        <v xml:space="preserve">DIRIT.IS </v>
      </c>
    </row>
    <row r="324" spans="1:6" x14ac:dyDescent="0.25">
      <c r="A324" t="s">
        <v>4</v>
      </c>
      <c r="B324" t="s">
        <v>580</v>
      </c>
      <c r="C324" t="s">
        <v>581</v>
      </c>
      <c r="D324" s="2">
        <v>43773</v>
      </c>
      <c r="E324">
        <f>IF(RIGHT(LeaversJoiners[[#This Row],[Code]],1)=")",1,0)</f>
        <v>0</v>
      </c>
      <c r="F324" t="str">
        <f>IF(LeaversJoiners[[#This Row],[Sütun1]]=1,LEFT(LeaversJoiners[[#This Row],[Code]],FIND("^",LeaversJoiners[[#This Row],[Code]])-1),LeaversJoiners[[#This Row],[Code]])</f>
        <v xml:space="preserve">GLBMD.IS </v>
      </c>
    </row>
    <row r="325" spans="1:6" x14ac:dyDescent="0.25">
      <c r="A325" t="s">
        <v>4</v>
      </c>
      <c r="B325" t="s">
        <v>582</v>
      </c>
      <c r="C325" t="s">
        <v>583</v>
      </c>
      <c r="D325" s="2">
        <v>43773</v>
      </c>
      <c r="E325">
        <f>IF(RIGHT(LeaversJoiners[[#This Row],[Code]],1)=")",1,0)</f>
        <v>0</v>
      </c>
      <c r="F325" t="str">
        <f>IF(LeaversJoiners[[#This Row],[Sütun1]]=1,LEFT(LeaversJoiners[[#This Row],[Code]],FIND("^",LeaversJoiners[[#This Row],[Code]])-1),LeaversJoiners[[#This Row],[Code]])</f>
        <v xml:space="preserve">HUBVC.IS </v>
      </c>
    </row>
    <row r="326" spans="1:6" x14ac:dyDescent="0.25">
      <c r="A326" t="s">
        <v>4</v>
      </c>
      <c r="B326" t="s">
        <v>584</v>
      </c>
      <c r="C326" t="s">
        <v>585</v>
      </c>
      <c r="D326" s="2">
        <v>43773</v>
      </c>
      <c r="E326">
        <f>IF(RIGHT(LeaversJoiners[[#This Row],[Code]],1)=")",1,0)</f>
        <v>0</v>
      </c>
      <c r="F326" t="str">
        <f>IF(LeaversJoiners[[#This Row],[Sütun1]]=1,LEFT(LeaversJoiners[[#This Row],[Code]],FIND("^",LeaversJoiners[[#This Row],[Code]])-1),LeaversJoiners[[#This Row],[Code]])</f>
        <v xml:space="preserve">IDGYO.IS </v>
      </c>
    </row>
    <row r="327" spans="1:6" x14ac:dyDescent="0.25">
      <c r="A327" t="s">
        <v>4</v>
      </c>
      <c r="B327" t="s">
        <v>586</v>
      </c>
      <c r="C327" t="s">
        <v>587</v>
      </c>
      <c r="D327" s="2">
        <v>43773</v>
      </c>
      <c r="E327">
        <f>IF(RIGHT(LeaversJoiners[[#This Row],[Code]],1)=")",1,0)</f>
        <v>0</v>
      </c>
      <c r="F327" t="str">
        <f>IF(LeaversJoiners[[#This Row],[Sütun1]]=1,LEFT(LeaversJoiners[[#This Row],[Code]],FIND("^",LeaversJoiners[[#This Row],[Code]])-1),LeaversJoiners[[#This Row],[Code]])</f>
        <v xml:space="preserve">INVEO.IS </v>
      </c>
    </row>
    <row r="328" spans="1:6" x14ac:dyDescent="0.25">
      <c r="A328" t="s">
        <v>4</v>
      </c>
      <c r="B328" t="s">
        <v>588</v>
      </c>
      <c r="C328" t="s">
        <v>589</v>
      </c>
      <c r="D328" s="2">
        <v>43773</v>
      </c>
      <c r="E328">
        <f>IF(RIGHT(LeaversJoiners[[#This Row],[Code]],1)=")",1,0)</f>
        <v>0</v>
      </c>
      <c r="F328" t="str">
        <f>IF(LeaversJoiners[[#This Row],[Sütun1]]=1,LEFT(LeaversJoiners[[#This Row],[Code]],FIND("^",LeaversJoiners[[#This Row],[Code]])-1),LeaversJoiners[[#This Row],[Code]])</f>
        <v xml:space="preserve">ISBTR.IS </v>
      </c>
    </row>
    <row r="329" spans="1:6" x14ac:dyDescent="0.25">
      <c r="A329" t="s">
        <v>4</v>
      </c>
      <c r="B329" t="s">
        <v>588</v>
      </c>
      <c r="C329" t="s">
        <v>590</v>
      </c>
      <c r="D329" s="2">
        <v>43773</v>
      </c>
      <c r="E329">
        <f>IF(RIGHT(LeaversJoiners[[#This Row],[Code]],1)=")",1,0)</f>
        <v>0</v>
      </c>
      <c r="F329" t="str">
        <f>IF(LeaversJoiners[[#This Row],[Sütun1]]=1,LEFT(LeaversJoiners[[#This Row],[Code]],FIND("^",LeaversJoiners[[#This Row],[Code]])-1),LeaversJoiners[[#This Row],[Code]])</f>
        <v xml:space="preserve">ISATR.IS </v>
      </c>
    </row>
    <row r="330" spans="1:6" x14ac:dyDescent="0.25">
      <c r="A330" t="s">
        <v>4</v>
      </c>
      <c r="B330" t="s">
        <v>591</v>
      </c>
      <c r="C330" t="s">
        <v>592</v>
      </c>
      <c r="D330" s="2">
        <v>43773</v>
      </c>
      <c r="E330">
        <f>IF(RIGHT(LeaversJoiners[[#This Row],[Code]],1)=")",1,0)</f>
        <v>0</v>
      </c>
      <c r="F330" t="str">
        <f>IF(LeaversJoiners[[#This Row],[Sütun1]]=1,LEFT(LeaversJoiners[[#This Row],[Code]],FIND("^",LeaversJoiners[[#This Row],[Code]])-1),LeaversJoiners[[#This Row],[Code]])</f>
        <v xml:space="preserve">KRGYO.IS </v>
      </c>
    </row>
    <row r="331" spans="1:6" x14ac:dyDescent="0.25">
      <c r="A331" t="s">
        <v>4</v>
      </c>
      <c r="B331" t="s">
        <v>593</v>
      </c>
      <c r="C331" t="s">
        <v>594</v>
      </c>
      <c r="D331" s="2">
        <v>43773</v>
      </c>
      <c r="E331">
        <f>IF(RIGHT(LeaversJoiners[[#This Row],[Code]],1)=")",1,0)</f>
        <v>0</v>
      </c>
      <c r="F331" t="str">
        <f>IF(LeaversJoiners[[#This Row],[Sütun1]]=1,LEFT(LeaversJoiners[[#This Row],[Code]],FIND("^",LeaversJoiners[[#This Row],[Code]])-1),LeaversJoiners[[#This Row],[Code]])</f>
        <v xml:space="preserve">LIDFA.IS </v>
      </c>
    </row>
    <row r="332" spans="1:6" x14ac:dyDescent="0.25">
      <c r="A332" t="s">
        <v>4</v>
      </c>
      <c r="B332" t="s">
        <v>595</v>
      </c>
      <c r="C332" t="s">
        <v>596</v>
      </c>
      <c r="D332" s="2">
        <v>43773</v>
      </c>
      <c r="E332">
        <f>IF(RIGHT(LeaversJoiners[[#This Row],[Code]],1)=")",1,0)</f>
        <v>0</v>
      </c>
      <c r="F332" t="str">
        <f>IF(LeaversJoiners[[#This Row],[Sütun1]]=1,LEFT(LeaversJoiners[[#This Row],[Code]],FIND("^",LeaversJoiners[[#This Row],[Code]])-1),LeaversJoiners[[#This Row],[Code]])</f>
        <v xml:space="preserve">LUKSK.IS </v>
      </c>
    </row>
    <row r="333" spans="1:6" x14ac:dyDescent="0.25">
      <c r="A333" t="s">
        <v>4</v>
      </c>
      <c r="B333" t="s">
        <v>597</v>
      </c>
      <c r="C333" t="s">
        <v>598</v>
      </c>
      <c r="D333" s="2">
        <v>43773</v>
      </c>
      <c r="E333">
        <f>IF(RIGHT(LeaversJoiners[[#This Row],[Code]],1)=")",1,0)</f>
        <v>0</v>
      </c>
      <c r="F333" t="str">
        <f>IF(LeaversJoiners[[#This Row],[Sütun1]]=1,LEFT(LeaversJoiners[[#This Row],[Code]],FIND("^",LeaversJoiners[[#This Row],[Code]])-1),LeaversJoiners[[#This Row],[Code]])</f>
        <v xml:space="preserve">LYDYE.IS </v>
      </c>
    </row>
    <row r="334" spans="1:6" x14ac:dyDescent="0.25">
      <c r="A334" t="s">
        <v>4</v>
      </c>
      <c r="B334" t="s">
        <v>599</v>
      </c>
      <c r="C334" t="s">
        <v>600</v>
      </c>
      <c r="D334" s="2">
        <v>43773</v>
      </c>
      <c r="E334">
        <f>IF(RIGHT(LeaversJoiners[[#This Row],[Code]],1)=")",1,0)</f>
        <v>0</v>
      </c>
      <c r="F334" t="str">
        <f>IF(LeaversJoiners[[#This Row],[Sütun1]]=1,LEFT(LeaversJoiners[[#This Row],[Code]],FIND("^",LeaversJoiners[[#This Row],[Code]])-1),LeaversJoiners[[#This Row],[Code]])</f>
        <v xml:space="preserve">OSMEN.IS </v>
      </c>
    </row>
    <row r="335" spans="1:6" x14ac:dyDescent="0.25">
      <c r="A335" t="s">
        <v>4</v>
      </c>
      <c r="B335" t="s">
        <v>601</v>
      </c>
      <c r="C335" t="s">
        <v>602</v>
      </c>
      <c r="D335" s="2">
        <v>43773</v>
      </c>
      <c r="E335">
        <f>IF(RIGHT(LeaversJoiners[[#This Row],[Code]],1)=")",1,0)</f>
        <v>0</v>
      </c>
      <c r="F335" t="str">
        <f>IF(LeaversJoiners[[#This Row],[Sütun1]]=1,LEFT(LeaversJoiners[[#This Row],[Code]],FIND("^",LeaversJoiners[[#This Row],[Code]])-1),LeaversJoiners[[#This Row],[Code]])</f>
        <v xml:space="preserve">OZRDN.IS </v>
      </c>
    </row>
    <row r="336" spans="1:6" x14ac:dyDescent="0.25">
      <c r="A336" t="s">
        <v>4</v>
      </c>
      <c r="B336" t="s">
        <v>518</v>
      </c>
      <c r="C336" t="s">
        <v>519</v>
      </c>
      <c r="D336" s="2">
        <v>43773</v>
      </c>
      <c r="E336">
        <f>IF(RIGHT(LeaversJoiners[[#This Row],[Code]],1)=")",1,0)</f>
        <v>0</v>
      </c>
      <c r="F336" t="str">
        <f>IF(LeaversJoiners[[#This Row],[Sütun1]]=1,LEFT(LeaversJoiners[[#This Row],[Code]],FIND("^",LeaversJoiners[[#This Row],[Code]])-1),LeaversJoiners[[#This Row],[Code]])</f>
        <v xml:space="preserve">PAMEL.IS </v>
      </c>
    </row>
    <row r="337" spans="1:6" x14ac:dyDescent="0.25">
      <c r="A337" t="s">
        <v>4</v>
      </c>
      <c r="B337" t="s">
        <v>603</v>
      </c>
      <c r="C337" t="s">
        <v>604</v>
      </c>
      <c r="D337" s="2">
        <v>43773</v>
      </c>
      <c r="E337">
        <f>IF(RIGHT(LeaversJoiners[[#This Row],[Code]],1)=")",1,0)</f>
        <v>0</v>
      </c>
      <c r="F337" t="str">
        <f>IF(LeaversJoiners[[#This Row],[Sütun1]]=1,LEFT(LeaversJoiners[[#This Row],[Code]],FIND("^",LeaversJoiners[[#This Row],[Code]])-1),LeaversJoiners[[#This Row],[Code]])</f>
        <v xml:space="preserve">PKENT.IS </v>
      </c>
    </row>
    <row r="338" spans="1:6" x14ac:dyDescent="0.25">
      <c r="A338" t="s">
        <v>4</v>
      </c>
      <c r="B338" t="s">
        <v>74</v>
      </c>
      <c r="C338" t="s">
        <v>75</v>
      </c>
      <c r="D338" s="2">
        <v>43773</v>
      </c>
      <c r="E338">
        <f>IF(RIGHT(LeaversJoiners[[#This Row],[Code]],1)=")",1,0)</f>
        <v>0</v>
      </c>
      <c r="F338" t="str">
        <f>IF(LeaversJoiners[[#This Row],[Sütun1]]=1,LEFT(LeaversJoiners[[#This Row],[Code]],FIND("^",LeaversJoiners[[#This Row],[Code]])-1),LeaversJoiners[[#This Row],[Code]])</f>
        <v xml:space="preserve">QNBFK.IS </v>
      </c>
    </row>
    <row r="339" spans="1:6" x14ac:dyDescent="0.25">
      <c r="A339" t="s">
        <v>4</v>
      </c>
      <c r="B339" t="s">
        <v>605</v>
      </c>
      <c r="C339" t="s">
        <v>606</v>
      </c>
      <c r="D339" s="2">
        <v>43773</v>
      </c>
      <c r="E339">
        <f>IF(RIGHT(LeaversJoiners[[#This Row],[Code]],1)=")",1,0)</f>
        <v>0</v>
      </c>
      <c r="F339" t="str">
        <f>IF(LeaversJoiners[[#This Row],[Sütun1]]=1,LEFT(LeaversJoiners[[#This Row],[Code]],FIND("^",LeaversJoiners[[#This Row],[Code]])-1),LeaversJoiners[[#This Row],[Code]])</f>
        <v xml:space="preserve">RODRG.IS </v>
      </c>
    </row>
    <row r="340" spans="1:6" x14ac:dyDescent="0.25">
      <c r="A340" t="s">
        <v>4</v>
      </c>
      <c r="B340" t="s">
        <v>607</v>
      </c>
      <c r="C340" t="s">
        <v>608</v>
      </c>
      <c r="D340" s="2">
        <v>43773</v>
      </c>
      <c r="E340">
        <f>IF(RIGHT(LeaversJoiners[[#This Row],[Code]],1)=")",1,0)</f>
        <v>0</v>
      </c>
      <c r="F340" t="str">
        <f>IF(LeaversJoiners[[#This Row],[Sütun1]]=1,LEFT(LeaversJoiners[[#This Row],[Code]],FIND("^",LeaversJoiners[[#This Row],[Code]])-1),LeaversJoiners[[#This Row],[Code]])</f>
        <v xml:space="preserve">SANFM.IS </v>
      </c>
    </row>
    <row r="341" spans="1:6" x14ac:dyDescent="0.25">
      <c r="A341" t="s">
        <v>4</v>
      </c>
      <c r="B341" t="s">
        <v>609</v>
      </c>
      <c r="C341" t="s">
        <v>610</v>
      </c>
      <c r="D341" s="2">
        <v>43773</v>
      </c>
      <c r="E341">
        <f>IF(RIGHT(LeaversJoiners[[#This Row],[Code]],1)=")",1,0)</f>
        <v>0</v>
      </c>
      <c r="F341" t="str">
        <f>IF(LeaversJoiners[[#This Row],[Sütun1]]=1,LEFT(LeaversJoiners[[#This Row],[Code]],FIND("^",LeaversJoiners[[#This Row],[Code]])-1),LeaversJoiners[[#This Row],[Code]])</f>
        <v xml:space="preserve">SAYAS.IS </v>
      </c>
    </row>
    <row r="342" spans="1:6" x14ac:dyDescent="0.25">
      <c r="A342" t="s">
        <v>4</v>
      </c>
      <c r="B342" t="s">
        <v>78</v>
      </c>
      <c r="C342" t="s">
        <v>79</v>
      </c>
      <c r="D342" s="2">
        <v>43773</v>
      </c>
      <c r="E342">
        <f>IF(RIGHT(LeaversJoiners[[#This Row],[Code]],1)=")",1,0)</f>
        <v>0</v>
      </c>
      <c r="F342" t="str">
        <f>IF(LeaversJoiners[[#This Row],[Sütun1]]=1,LEFT(LeaversJoiners[[#This Row],[Code]],FIND("^",LeaversJoiners[[#This Row],[Code]])-1),LeaversJoiners[[#This Row],[Code]])</f>
        <v xml:space="preserve">SNPAM.IS </v>
      </c>
    </row>
    <row r="343" spans="1:6" x14ac:dyDescent="0.25">
      <c r="A343" t="s">
        <v>4</v>
      </c>
      <c r="B343" t="s">
        <v>611</v>
      </c>
      <c r="C343" t="s">
        <v>612</v>
      </c>
      <c r="D343" s="2">
        <v>43773</v>
      </c>
      <c r="E343">
        <f>IF(RIGHT(LeaversJoiners[[#This Row],[Code]],1)=")",1,0)</f>
        <v>0</v>
      </c>
      <c r="F343" t="str">
        <f>IF(LeaversJoiners[[#This Row],[Sütun1]]=1,LEFT(LeaversJoiners[[#This Row],[Code]],FIND("^",LeaversJoiners[[#This Row],[Code]])-1),LeaversJoiners[[#This Row],[Code]])</f>
        <v xml:space="preserve">TRHOL.IS </v>
      </c>
    </row>
    <row r="344" spans="1:6" x14ac:dyDescent="0.25">
      <c r="A344" t="s">
        <v>4</v>
      </c>
      <c r="B344" t="s">
        <v>613</v>
      </c>
      <c r="C344" t="s">
        <v>614</v>
      </c>
      <c r="D344" s="2">
        <v>43773</v>
      </c>
      <c r="E344">
        <f>IF(RIGHT(LeaversJoiners[[#This Row],[Code]],1)=")",1,0)</f>
        <v>0</v>
      </c>
      <c r="F344" t="str">
        <f>IF(LeaversJoiners[[#This Row],[Sütun1]]=1,LEFT(LeaversJoiners[[#This Row],[Code]],FIND("^",LeaversJoiners[[#This Row],[Code]])-1),LeaversJoiners[[#This Row],[Code]])</f>
        <v xml:space="preserve">TDGYO.IS </v>
      </c>
    </row>
    <row r="345" spans="1:6" x14ac:dyDescent="0.25">
      <c r="A345" t="s">
        <v>4</v>
      </c>
      <c r="B345" t="s">
        <v>615</v>
      </c>
      <c r="C345" t="s">
        <v>616</v>
      </c>
      <c r="D345" s="2">
        <v>43773</v>
      </c>
      <c r="E345">
        <f>IF(RIGHT(LeaversJoiners[[#This Row],[Code]],1)=")",1,0)</f>
        <v>0</v>
      </c>
      <c r="F345" t="str">
        <f>IF(LeaversJoiners[[#This Row],[Sütun1]]=1,LEFT(LeaversJoiners[[#This Row],[Code]],FIND("^",LeaversJoiners[[#This Row],[Code]])-1),LeaversJoiners[[#This Row],[Code]])</f>
        <v xml:space="preserve">ULAS.IS </v>
      </c>
    </row>
    <row r="346" spans="1:6" x14ac:dyDescent="0.25">
      <c r="A346" t="s">
        <v>4</v>
      </c>
      <c r="B346" t="s">
        <v>617</v>
      </c>
      <c r="C346" t="s">
        <v>618</v>
      </c>
      <c r="D346" s="2">
        <v>43773</v>
      </c>
      <c r="E346">
        <f>IF(RIGHT(LeaversJoiners[[#This Row],[Code]],1)=")",1,0)</f>
        <v>0</v>
      </c>
      <c r="F346" t="str">
        <f>IF(LeaversJoiners[[#This Row],[Sütun1]]=1,LEFT(LeaversJoiners[[#This Row],[Code]],FIND("^",LeaversJoiners[[#This Row],[Code]])-1),LeaversJoiners[[#This Row],[Code]])</f>
        <v xml:space="preserve">VKING.IS </v>
      </c>
    </row>
    <row r="347" spans="1:6" x14ac:dyDescent="0.25">
      <c r="A347" t="s">
        <v>4</v>
      </c>
      <c r="B347" t="s">
        <v>619</v>
      </c>
      <c r="C347" t="s">
        <v>620</v>
      </c>
      <c r="D347" s="2">
        <v>43773</v>
      </c>
      <c r="E347">
        <f>IF(RIGHT(LeaversJoiners[[#This Row],[Code]],1)=")",1,0)</f>
        <v>0</v>
      </c>
      <c r="F347" t="str">
        <f>IF(LeaversJoiners[[#This Row],[Sütun1]]=1,LEFT(LeaversJoiners[[#This Row],[Code]],FIND("^",LeaversJoiners[[#This Row],[Code]])-1),LeaversJoiners[[#This Row],[Code]])</f>
        <v xml:space="preserve">YAPRK.IS </v>
      </c>
    </row>
    <row r="348" spans="1:6" x14ac:dyDescent="0.25">
      <c r="A348" t="s">
        <v>29</v>
      </c>
      <c r="B348" t="s">
        <v>621</v>
      </c>
      <c r="C348" t="s">
        <v>622</v>
      </c>
      <c r="D348" s="2">
        <v>43740</v>
      </c>
      <c r="E348">
        <f>IF(RIGHT(LeaversJoiners[[#This Row],[Code]],1)=")",1,0)</f>
        <v>1</v>
      </c>
      <c r="F348" t="str">
        <f>IF(LeaversJoiners[[#This Row],[Sütun1]]=1,LEFT(LeaversJoiners[[#This Row],[Code]],FIND("^",LeaversJoiners[[#This Row],[Code]])-1),LeaversJoiners[[#This Row],[Code]])</f>
        <v>IZOCM.IS</v>
      </c>
    </row>
    <row r="349" spans="1:6" x14ac:dyDescent="0.25">
      <c r="A349" t="s">
        <v>4</v>
      </c>
      <c r="B349" t="s">
        <v>122</v>
      </c>
      <c r="C349" t="s">
        <v>123</v>
      </c>
      <c r="D349" s="2">
        <v>43711</v>
      </c>
      <c r="E349">
        <f>IF(RIGHT(LeaversJoiners[[#This Row],[Code]],1)=")",1,0)</f>
        <v>0</v>
      </c>
      <c r="F349" t="str">
        <f>IF(LeaversJoiners[[#This Row],[Sütun1]]=1,LEFT(LeaversJoiners[[#This Row],[Code]],FIND("^",LeaversJoiners[[#This Row],[Code]])-1),LeaversJoiners[[#This Row],[Code]])</f>
        <v xml:space="preserve">OTTO.IS </v>
      </c>
    </row>
    <row r="350" spans="1:6" x14ac:dyDescent="0.25">
      <c r="A350" t="s">
        <v>29</v>
      </c>
      <c r="B350" t="s">
        <v>122</v>
      </c>
      <c r="C350" t="s">
        <v>123</v>
      </c>
      <c r="D350" s="2">
        <v>43700</v>
      </c>
      <c r="E350">
        <f>IF(RIGHT(LeaversJoiners[[#This Row],[Code]],1)=")",1,0)</f>
        <v>0</v>
      </c>
      <c r="F350" t="str">
        <f>IF(LeaversJoiners[[#This Row],[Sütun1]]=1,LEFT(LeaversJoiners[[#This Row],[Code]],FIND("^",LeaversJoiners[[#This Row],[Code]])-1),LeaversJoiners[[#This Row],[Code]])</f>
        <v xml:space="preserve">OTTO.IS </v>
      </c>
    </row>
    <row r="351" spans="1:6" x14ac:dyDescent="0.25">
      <c r="A351" t="s">
        <v>4</v>
      </c>
      <c r="B351" t="s">
        <v>623</v>
      </c>
      <c r="C351" t="s">
        <v>624</v>
      </c>
      <c r="D351" s="2">
        <v>43686</v>
      </c>
      <c r="E351">
        <f>IF(RIGHT(LeaversJoiners[[#This Row],[Code]],1)=")",1,0)</f>
        <v>0</v>
      </c>
      <c r="F351" t="str">
        <f>IF(LeaversJoiners[[#This Row],[Sütun1]]=1,LEFT(LeaversJoiners[[#This Row],[Code]],FIND("^",LeaversJoiners[[#This Row],[Code]])-1),LeaversJoiners[[#This Row],[Code]])</f>
        <v xml:space="preserve">NATEN.IS </v>
      </c>
    </row>
    <row r="352" spans="1:6" x14ac:dyDescent="0.25">
      <c r="A352" t="s">
        <v>4</v>
      </c>
      <c r="B352" t="s">
        <v>625</v>
      </c>
      <c r="C352" t="s">
        <v>626</v>
      </c>
      <c r="D352" s="2">
        <v>43650</v>
      </c>
      <c r="E352">
        <f>IF(RIGHT(LeaversJoiners[[#This Row],[Code]],1)=")",1,0)</f>
        <v>0</v>
      </c>
      <c r="F352" t="str">
        <f>IF(LeaversJoiners[[#This Row],[Sütun1]]=1,LEFT(LeaversJoiners[[#This Row],[Code]],FIND("^",LeaversJoiners[[#This Row],[Code]])-1),LeaversJoiners[[#This Row],[Code]])</f>
        <v xml:space="preserve">DERHL.IS </v>
      </c>
    </row>
    <row r="353" spans="1:6" x14ac:dyDescent="0.25">
      <c r="A353" t="s">
        <v>4</v>
      </c>
      <c r="B353" t="s">
        <v>548</v>
      </c>
      <c r="C353" t="s">
        <v>549</v>
      </c>
      <c r="D353" s="2">
        <v>43648</v>
      </c>
      <c r="E353">
        <f>IF(RIGHT(LeaversJoiners[[#This Row],[Code]],1)=")",1,0)</f>
        <v>0</v>
      </c>
      <c r="F353" t="str">
        <f>IF(LeaversJoiners[[#This Row],[Sütun1]]=1,LEFT(LeaversJoiners[[#This Row],[Code]],FIND("^",LeaversJoiners[[#This Row],[Code]])-1),LeaversJoiners[[#This Row],[Code]])</f>
        <v xml:space="preserve">GATEG.IS </v>
      </c>
    </row>
    <row r="354" spans="1:6" x14ac:dyDescent="0.25">
      <c r="A354" t="s">
        <v>4</v>
      </c>
      <c r="B354" t="s">
        <v>627</v>
      </c>
      <c r="C354" t="s">
        <v>628</v>
      </c>
      <c r="D354" s="2">
        <v>43648</v>
      </c>
      <c r="E354">
        <f>IF(RIGHT(LeaversJoiners[[#This Row],[Code]],1)=")",1,0)</f>
        <v>0</v>
      </c>
      <c r="F354" t="str">
        <f>IF(LeaversJoiners[[#This Row],[Sütun1]]=1,LEFT(LeaversJoiners[[#This Row],[Code]],FIND("^",LeaversJoiners[[#This Row],[Code]])-1),LeaversJoiners[[#This Row],[Code]])</f>
        <v xml:space="preserve">INFO.IS </v>
      </c>
    </row>
    <row r="355" spans="1:6" x14ac:dyDescent="0.25">
      <c r="A355" t="s">
        <v>4</v>
      </c>
      <c r="B355" t="s">
        <v>629</v>
      </c>
      <c r="C355" t="s">
        <v>630</v>
      </c>
      <c r="D355" s="2">
        <v>43648</v>
      </c>
      <c r="E355">
        <f>IF(RIGHT(LeaversJoiners[[#This Row],[Code]],1)=")",1,0)</f>
        <v>0</v>
      </c>
      <c r="F355" t="str">
        <f>IF(LeaversJoiners[[#This Row],[Sütun1]]=1,LEFT(LeaversJoiners[[#This Row],[Code]],FIND("^",LeaversJoiners[[#This Row],[Code]])-1),LeaversJoiners[[#This Row],[Code]])</f>
        <v xml:space="preserve">KRTEK.IS </v>
      </c>
    </row>
    <row r="356" spans="1:6" x14ac:dyDescent="0.25">
      <c r="A356" t="s">
        <v>29</v>
      </c>
      <c r="B356" t="s">
        <v>609</v>
      </c>
      <c r="C356" t="s">
        <v>610</v>
      </c>
      <c r="D356" s="2">
        <v>43648</v>
      </c>
      <c r="E356">
        <f>IF(RIGHT(LeaversJoiners[[#This Row],[Code]],1)=")",1,0)</f>
        <v>0</v>
      </c>
      <c r="F356" t="str">
        <f>IF(LeaversJoiners[[#This Row],[Sütun1]]=1,LEFT(LeaversJoiners[[#This Row],[Code]],FIND("^",LeaversJoiners[[#This Row],[Code]])-1),LeaversJoiners[[#This Row],[Code]])</f>
        <v xml:space="preserve">SAYAS.IS </v>
      </c>
    </row>
    <row r="357" spans="1:6" x14ac:dyDescent="0.25">
      <c r="A357" t="s">
        <v>29</v>
      </c>
      <c r="B357" t="s">
        <v>613</v>
      </c>
      <c r="C357" t="s">
        <v>614</v>
      </c>
      <c r="D357" s="2">
        <v>43648</v>
      </c>
      <c r="E357">
        <f>IF(RIGHT(LeaversJoiners[[#This Row],[Code]],1)=")",1,0)</f>
        <v>0</v>
      </c>
      <c r="F357" t="str">
        <f>IF(LeaversJoiners[[#This Row],[Sütun1]]=1,LEFT(LeaversJoiners[[#This Row],[Code]],FIND("^",LeaversJoiners[[#This Row],[Code]])-1),LeaversJoiners[[#This Row],[Code]])</f>
        <v xml:space="preserve">TDGYO.IS </v>
      </c>
    </row>
    <row r="358" spans="1:6" x14ac:dyDescent="0.25">
      <c r="A358" t="s">
        <v>29</v>
      </c>
      <c r="B358" t="s">
        <v>617</v>
      </c>
      <c r="C358" t="s">
        <v>618</v>
      </c>
      <c r="D358" s="2">
        <v>43648</v>
      </c>
      <c r="E358">
        <f>IF(RIGHT(LeaversJoiners[[#This Row],[Code]],1)=")",1,0)</f>
        <v>0</v>
      </c>
      <c r="F358" t="str">
        <f>IF(LeaversJoiners[[#This Row],[Sütun1]]=1,LEFT(LeaversJoiners[[#This Row],[Code]],FIND("^",LeaversJoiners[[#This Row],[Code]])-1),LeaversJoiners[[#This Row],[Code]])</f>
        <v xml:space="preserve">VKING.IS </v>
      </c>
    </row>
    <row r="359" spans="1:6" x14ac:dyDescent="0.25">
      <c r="A359" t="s">
        <v>4</v>
      </c>
      <c r="B359" t="s">
        <v>631</v>
      </c>
      <c r="C359" t="s">
        <v>632</v>
      </c>
      <c r="D359" s="2">
        <v>43616</v>
      </c>
      <c r="E359">
        <f>IF(RIGHT(LeaversJoiners[[#This Row],[Code]],1)=")",1,0)</f>
        <v>0</v>
      </c>
      <c r="F359" t="str">
        <f>IF(LeaversJoiners[[#This Row],[Sütun1]]=1,LEFT(LeaversJoiners[[#This Row],[Code]],FIND("^",LeaversJoiners[[#This Row],[Code]])-1),LeaversJoiners[[#This Row],[Code]])</f>
        <v xml:space="preserve">CEOEM.IS </v>
      </c>
    </row>
    <row r="360" spans="1:6" x14ac:dyDescent="0.25">
      <c r="A360" t="s">
        <v>4</v>
      </c>
      <c r="B360" t="s">
        <v>270</v>
      </c>
      <c r="C360" t="s">
        <v>271</v>
      </c>
      <c r="D360" s="2">
        <v>43607</v>
      </c>
      <c r="E360">
        <f>IF(RIGHT(LeaversJoiners[[#This Row],[Code]],1)=")",1,0)</f>
        <v>0</v>
      </c>
      <c r="F360" t="str">
        <f>IF(LeaversJoiners[[#This Row],[Sütun1]]=1,LEFT(LeaversJoiners[[#This Row],[Code]],FIND("^",LeaversJoiners[[#This Row],[Code]])-1),LeaversJoiners[[#This Row],[Code]])</f>
        <v xml:space="preserve">MARKA.IS </v>
      </c>
    </row>
    <row r="361" spans="1:6" x14ac:dyDescent="0.25">
      <c r="A361" t="s">
        <v>29</v>
      </c>
      <c r="B361" t="s">
        <v>270</v>
      </c>
      <c r="C361" t="s">
        <v>271</v>
      </c>
      <c r="D361" s="2">
        <v>43605</v>
      </c>
      <c r="E361">
        <f>IF(RIGHT(LeaversJoiners[[#This Row],[Code]],1)=")",1,0)</f>
        <v>0</v>
      </c>
      <c r="F361" t="str">
        <f>IF(LeaversJoiners[[#This Row],[Sütun1]]=1,LEFT(LeaversJoiners[[#This Row],[Code]],FIND("^",LeaversJoiners[[#This Row],[Code]])-1),LeaversJoiners[[#This Row],[Code]])</f>
        <v xml:space="preserve">MARKA.IS </v>
      </c>
    </row>
    <row r="362" spans="1:6" x14ac:dyDescent="0.25">
      <c r="A362" t="s">
        <v>4</v>
      </c>
      <c r="B362" t="s">
        <v>633</v>
      </c>
      <c r="C362" t="s">
        <v>634</v>
      </c>
      <c r="D362" s="2">
        <v>43601</v>
      </c>
      <c r="E362">
        <f>IF(RIGHT(LeaversJoiners[[#This Row],[Code]],1)=")",1,0)</f>
        <v>0</v>
      </c>
      <c r="F362" t="str">
        <f>IF(LeaversJoiners[[#This Row],[Sütun1]]=1,LEFT(LeaversJoiners[[#This Row],[Code]],FIND("^",LeaversJoiners[[#This Row],[Code]])-1),LeaversJoiners[[#This Row],[Code]])</f>
        <v xml:space="preserve">SMART.IS </v>
      </c>
    </row>
    <row r="363" spans="1:6" x14ac:dyDescent="0.25">
      <c r="A363" t="s">
        <v>4</v>
      </c>
      <c r="B363" t="s">
        <v>635</v>
      </c>
      <c r="C363" t="s">
        <v>636</v>
      </c>
      <c r="D363" s="2">
        <v>43552</v>
      </c>
      <c r="E363">
        <f>IF(RIGHT(LeaversJoiners[[#This Row],[Code]],1)=")",1,0)</f>
        <v>0</v>
      </c>
      <c r="F363" t="str">
        <f>IF(LeaversJoiners[[#This Row],[Sütun1]]=1,LEFT(LeaversJoiners[[#This Row],[Code]],FIND("^",LeaversJoiners[[#This Row],[Code]])-1),LeaversJoiners[[#This Row],[Code]])</f>
        <v xml:space="preserve">RALYH.IS </v>
      </c>
    </row>
    <row r="364" spans="1:6" x14ac:dyDescent="0.25">
      <c r="A364" t="s">
        <v>29</v>
      </c>
      <c r="B364" t="s">
        <v>637</v>
      </c>
      <c r="C364" t="s">
        <v>638</v>
      </c>
      <c r="D364" s="2">
        <v>43507</v>
      </c>
      <c r="E364">
        <f>IF(RIGHT(LeaversJoiners[[#This Row],[Code]],1)=")",1,0)</f>
        <v>1</v>
      </c>
      <c r="F364" t="str">
        <f>IF(LeaversJoiners[[#This Row],[Sütun1]]=1,LEFT(LeaversJoiners[[#This Row],[Code]],FIND("^",LeaversJoiners[[#This Row],[Code]])-1),LeaversJoiners[[#This Row],[Code]])</f>
        <v>DGZTE.IS</v>
      </c>
    </row>
    <row r="365" spans="1:6" x14ac:dyDescent="0.25">
      <c r="A365" t="s">
        <v>4</v>
      </c>
      <c r="B365" t="s">
        <v>639</v>
      </c>
      <c r="C365" t="s">
        <v>640</v>
      </c>
      <c r="D365" s="2">
        <v>43467</v>
      </c>
      <c r="E365">
        <f>IF(RIGHT(LeaversJoiners[[#This Row],[Code]],1)=")",1,0)</f>
        <v>0</v>
      </c>
      <c r="F365" t="str">
        <f>IF(LeaversJoiners[[#This Row],[Sütun1]]=1,LEFT(LeaversJoiners[[#This Row],[Code]],FIND("^",LeaversJoiners[[#This Row],[Code]])-1),LeaversJoiners[[#This Row],[Code]])</f>
        <v xml:space="preserve">AVHOL.IS </v>
      </c>
    </row>
    <row r="366" spans="1:6" x14ac:dyDescent="0.25">
      <c r="A366" t="s">
        <v>29</v>
      </c>
      <c r="B366" t="s">
        <v>524</v>
      </c>
      <c r="C366" t="s">
        <v>525</v>
      </c>
      <c r="D366" s="2">
        <v>43467</v>
      </c>
      <c r="E366">
        <f>IF(RIGHT(LeaversJoiners[[#This Row],[Code]],1)=")",1,0)</f>
        <v>0</v>
      </c>
      <c r="F366" t="str">
        <f>IF(LeaversJoiners[[#This Row],[Sütun1]]=1,LEFT(LeaversJoiners[[#This Row],[Code]],FIND("^",LeaversJoiners[[#This Row],[Code]])-1),LeaversJoiners[[#This Row],[Code]])</f>
        <v xml:space="preserve">BRMEN.IS </v>
      </c>
    </row>
    <row r="367" spans="1:6" x14ac:dyDescent="0.25">
      <c r="A367" t="s">
        <v>4</v>
      </c>
      <c r="B367" t="s">
        <v>641</v>
      </c>
      <c r="C367" t="s">
        <v>642</v>
      </c>
      <c r="D367" s="2">
        <v>43467</v>
      </c>
      <c r="E367">
        <f>IF(RIGHT(LeaversJoiners[[#This Row],[Code]],1)=")",1,0)</f>
        <v>0</v>
      </c>
      <c r="F367" t="str">
        <f>IF(LeaversJoiners[[#This Row],[Sütun1]]=1,LEFT(LeaversJoiners[[#This Row],[Code]],FIND("^",LeaversJoiners[[#This Row],[Code]])-1),LeaversJoiners[[#This Row],[Code]])</f>
        <v xml:space="preserve">DESA.IS </v>
      </c>
    </row>
    <row r="368" spans="1:6" x14ac:dyDescent="0.25">
      <c r="A368" t="s">
        <v>4</v>
      </c>
      <c r="B368" t="s">
        <v>643</v>
      </c>
      <c r="C368" t="s">
        <v>644</v>
      </c>
      <c r="D368" s="2">
        <v>43467</v>
      </c>
      <c r="E368">
        <f>IF(RIGHT(LeaversJoiners[[#This Row],[Code]],1)=")",1,0)</f>
        <v>0</v>
      </c>
      <c r="F368" t="str">
        <f>IF(LeaversJoiners[[#This Row],[Sütun1]]=1,LEFT(LeaversJoiners[[#This Row],[Code]],FIND("^",LeaversJoiners[[#This Row],[Code]])-1),LeaversJoiners[[#This Row],[Code]])</f>
        <v xml:space="preserve">GEDIK.IS </v>
      </c>
    </row>
    <row r="369" spans="1:6" x14ac:dyDescent="0.25">
      <c r="A369" t="s">
        <v>4</v>
      </c>
      <c r="B369" t="s">
        <v>645</v>
      </c>
      <c r="C369" t="s">
        <v>646</v>
      </c>
      <c r="D369" s="2">
        <v>43467</v>
      </c>
      <c r="E369">
        <f>IF(RIGHT(LeaversJoiners[[#This Row],[Code]],1)=")",1,0)</f>
        <v>0</v>
      </c>
      <c r="F369" t="str">
        <f>IF(LeaversJoiners[[#This Row],[Sütun1]]=1,LEFT(LeaversJoiners[[#This Row],[Code]],FIND("^",LeaversJoiners[[#This Row],[Code]])-1),LeaversJoiners[[#This Row],[Code]])</f>
        <v xml:space="preserve">IZINV.IS </v>
      </c>
    </row>
    <row r="370" spans="1:6" x14ac:dyDescent="0.25">
      <c r="A370" t="s">
        <v>29</v>
      </c>
      <c r="B370" t="s">
        <v>629</v>
      </c>
      <c r="C370" t="s">
        <v>630</v>
      </c>
      <c r="D370" s="2">
        <v>43467</v>
      </c>
      <c r="E370">
        <f>IF(RIGHT(LeaversJoiners[[#This Row],[Code]],1)=")",1,0)</f>
        <v>0</v>
      </c>
      <c r="F370" t="str">
        <f>IF(LeaversJoiners[[#This Row],[Sütun1]]=1,LEFT(LeaversJoiners[[#This Row],[Code]],FIND("^",LeaversJoiners[[#This Row],[Code]])-1),LeaversJoiners[[#This Row],[Code]])</f>
        <v xml:space="preserve">KRTEK.IS </v>
      </c>
    </row>
    <row r="371" spans="1:6" x14ac:dyDescent="0.25">
      <c r="A371" t="s">
        <v>29</v>
      </c>
      <c r="B371" t="s">
        <v>593</v>
      </c>
      <c r="C371" t="s">
        <v>594</v>
      </c>
      <c r="D371" s="2">
        <v>43467</v>
      </c>
      <c r="E371">
        <f>IF(RIGHT(LeaversJoiners[[#This Row],[Code]],1)=")",1,0)</f>
        <v>0</v>
      </c>
      <c r="F371" t="str">
        <f>IF(LeaversJoiners[[#This Row],[Sütun1]]=1,LEFT(LeaversJoiners[[#This Row],[Code]],FIND("^",LeaversJoiners[[#This Row],[Code]])-1),LeaversJoiners[[#This Row],[Code]])</f>
        <v xml:space="preserve">LIDFA.IS </v>
      </c>
    </row>
    <row r="372" spans="1:6" x14ac:dyDescent="0.25">
      <c r="A372" t="s">
        <v>4</v>
      </c>
      <c r="B372" t="s">
        <v>142</v>
      </c>
      <c r="C372" t="s">
        <v>143</v>
      </c>
      <c r="D372" s="2">
        <v>43467</v>
      </c>
      <c r="E372">
        <f>IF(RIGHT(LeaversJoiners[[#This Row],[Code]],1)=")",1,0)</f>
        <v>0</v>
      </c>
      <c r="F372" t="str">
        <f>IF(LeaversJoiners[[#This Row],[Sütun1]]=1,LEFT(LeaversJoiners[[#This Row],[Code]],FIND("^",LeaversJoiners[[#This Row],[Code]])-1),LeaversJoiners[[#This Row],[Code]])</f>
        <v xml:space="preserve">MEGAP.IS </v>
      </c>
    </row>
    <row r="373" spans="1:6" x14ac:dyDescent="0.25">
      <c r="A373" t="s">
        <v>29</v>
      </c>
      <c r="B373" t="s">
        <v>599</v>
      </c>
      <c r="C373" t="s">
        <v>600</v>
      </c>
      <c r="D373" s="2">
        <v>43467</v>
      </c>
      <c r="E373">
        <f>IF(RIGHT(LeaversJoiners[[#This Row],[Code]],1)=")",1,0)</f>
        <v>0</v>
      </c>
      <c r="F373" t="str">
        <f>IF(LeaversJoiners[[#This Row],[Sütun1]]=1,LEFT(LeaversJoiners[[#This Row],[Code]],FIND("^",LeaversJoiners[[#This Row],[Code]])-1),LeaversJoiners[[#This Row],[Code]])</f>
        <v xml:space="preserve">OSMEN.IS </v>
      </c>
    </row>
    <row r="374" spans="1:6" x14ac:dyDescent="0.25">
      <c r="A374" t="s">
        <v>4</v>
      </c>
      <c r="B374" t="s">
        <v>122</v>
      </c>
      <c r="C374" t="s">
        <v>123</v>
      </c>
      <c r="D374" s="2">
        <v>43467</v>
      </c>
      <c r="E374">
        <f>IF(RIGHT(LeaversJoiners[[#This Row],[Code]],1)=")",1,0)</f>
        <v>0</v>
      </c>
      <c r="F374" t="str">
        <f>IF(LeaversJoiners[[#This Row],[Sütun1]]=1,LEFT(LeaversJoiners[[#This Row],[Code]],FIND("^",LeaversJoiners[[#This Row],[Code]])-1),LeaversJoiners[[#This Row],[Code]])</f>
        <v xml:space="preserve">OTTO.IS </v>
      </c>
    </row>
    <row r="375" spans="1:6" x14ac:dyDescent="0.25">
      <c r="A375" t="s">
        <v>29</v>
      </c>
      <c r="B375" t="s">
        <v>78</v>
      </c>
      <c r="C375" t="s">
        <v>79</v>
      </c>
      <c r="D375" s="2">
        <v>43467</v>
      </c>
      <c r="E375">
        <f>IF(RIGHT(LeaversJoiners[[#This Row],[Code]],1)=")",1,0)</f>
        <v>0</v>
      </c>
      <c r="F375" t="str">
        <f>IF(LeaversJoiners[[#This Row],[Sütun1]]=1,LEFT(LeaversJoiners[[#This Row],[Code]],FIND("^",LeaversJoiners[[#This Row],[Code]])-1),LeaversJoiners[[#This Row],[Code]])</f>
        <v xml:space="preserve">SNPAM.IS </v>
      </c>
    </row>
    <row r="376" spans="1:6" x14ac:dyDescent="0.25">
      <c r="A376" t="s">
        <v>29</v>
      </c>
      <c r="B376" t="s">
        <v>615</v>
      </c>
      <c r="C376" t="s">
        <v>616</v>
      </c>
      <c r="D376" s="2">
        <v>43467</v>
      </c>
      <c r="E376">
        <f>IF(RIGHT(LeaversJoiners[[#This Row],[Code]],1)=")",1,0)</f>
        <v>0</v>
      </c>
      <c r="F376" t="str">
        <f>IF(LeaversJoiners[[#This Row],[Sütun1]]=1,LEFT(LeaversJoiners[[#This Row],[Code]],FIND("^",LeaversJoiners[[#This Row],[Code]])-1),LeaversJoiners[[#This Row],[Code]])</f>
        <v xml:space="preserve">ULAS.IS </v>
      </c>
    </row>
    <row r="377" spans="1:6" x14ac:dyDescent="0.25">
      <c r="A377" t="s">
        <v>29</v>
      </c>
      <c r="B377" t="s">
        <v>284</v>
      </c>
      <c r="C377" t="s">
        <v>285</v>
      </c>
      <c r="D377" s="2">
        <v>43459</v>
      </c>
      <c r="E377">
        <f>IF(RIGHT(LeaversJoiners[[#This Row],[Code]],1)=")",1,0)</f>
        <v>0</v>
      </c>
      <c r="F377" t="str">
        <f>IF(LeaversJoiners[[#This Row],[Sütun1]]=1,LEFT(LeaversJoiners[[#This Row],[Code]],FIND("^",LeaversJoiners[[#This Row],[Code]])-1),LeaversJoiners[[#This Row],[Code]])</f>
        <v xml:space="preserve">RUZYE.IS </v>
      </c>
    </row>
    <row r="378" spans="1:6" x14ac:dyDescent="0.25">
      <c r="A378" t="s">
        <v>29</v>
      </c>
      <c r="B378" t="s">
        <v>647</v>
      </c>
      <c r="C378" t="s">
        <v>648</v>
      </c>
      <c r="D378" s="2">
        <v>43367</v>
      </c>
      <c r="E378">
        <f>IF(RIGHT(LeaversJoiners[[#This Row],[Code]],1)=")",1,0)</f>
        <v>1</v>
      </c>
      <c r="F378" t="str">
        <f>IF(LeaversJoiners[[#This Row],[Sütun1]]=1,LEFT(LeaversJoiners[[#This Row],[Code]],FIND("^",LeaversJoiners[[#This Row],[Code]])-1),LeaversJoiners[[#This Row],[Code]])</f>
        <v>ATPET.IS</v>
      </c>
    </row>
    <row r="379" spans="1:6" x14ac:dyDescent="0.25">
      <c r="A379" t="s">
        <v>29</v>
      </c>
      <c r="B379" t="s">
        <v>649</v>
      </c>
      <c r="C379" t="s">
        <v>650</v>
      </c>
      <c r="D379" s="2">
        <v>43346</v>
      </c>
      <c r="E379">
        <f>IF(RIGHT(LeaversJoiners[[#This Row],[Code]],1)=")",1,0)</f>
        <v>1</v>
      </c>
      <c r="F379" t="str">
        <f>IF(LeaversJoiners[[#This Row],[Sütun1]]=1,LEFT(LeaversJoiners[[#This Row],[Code]],FIND("^",LeaversJoiners[[#This Row],[Code]])-1),LeaversJoiners[[#This Row],[Code]])</f>
        <v>KIPA.IS</v>
      </c>
    </row>
    <row r="380" spans="1:6" x14ac:dyDescent="0.25">
      <c r="A380" t="s">
        <v>4</v>
      </c>
      <c r="B380" t="s">
        <v>651</v>
      </c>
      <c r="C380" t="s">
        <v>652</v>
      </c>
      <c r="D380" s="2">
        <v>43283</v>
      </c>
      <c r="E380">
        <f>IF(RIGHT(LeaversJoiners[[#This Row],[Code]],1)=")",1,0)</f>
        <v>0</v>
      </c>
      <c r="F380" t="str">
        <f>IF(LeaversJoiners[[#This Row],[Sütun1]]=1,LEFT(LeaversJoiners[[#This Row],[Code]],FIND("^",LeaversJoiners[[#This Row],[Code]])-1),LeaversJoiners[[#This Row],[Code]])</f>
        <v xml:space="preserve">SEYKM.IS </v>
      </c>
    </row>
    <row r="381" spans="1:6" x14ac:dyDescent="0.25">
      <c r="A381" t="s">
        <v>4</v>
      </c>
      <c r="B381" t="s">
        <v>653</v>
      </c>
      <c r="C381" t="s">
        <v>654</v>
      </c>
      <c r="D381" s="2">
        <v>43283</v>
      </c>
      <c r="E381">
        <f>IF(RIGHT(LeaversJoiners[[#This Row],[Code]],1)=")",1,0)</f>
        <v>0</v>
      </c>
      <c r="F381" t="str">
        <f>IF(LeaversJoiners[[#This Row],[Sütun1]]=1,LEFT(LeaversJoiners[[#This Row],[Code]],FIND("^",LeaversJoiners[[#This Row],[Code]])-1),LeaversJoiners[[#This Row],[Code]])</f>
        <v xml:space="preserve">SKYLP.IS </v>
      </c>
    </row>
    <row r="382" spans="1:6" x14ac:dyDescent="0.25">
      <c r="A382" t="s">
        <v>4</v>
      </c>
      <c r="B382" t="s">
        <v>617</v>
      </c>
      <c r="C382" t="s">
        <v>618</v>
      </c>
      <c r="D382" s="2">
        <v>43283</v>
      </c>
      <c r="E382">
        <f>IF(RIGHT(LeaversJoiners[[#This Row],[Code]],1)=")",1,0)</f>
        <v>0</v>
      </c>
      <c r="F382" t="str">
        <f>IF(LeaversJoiners[[#This Row],[Sütun1]]=1,LEFT(LeaversJoiners[[#This Row],[Code]],FIND("^",LeaversJoiners[[#This Row],[Code]])-1),LeaversJoiners[[#This Row],[Code]])</f>
        <v xml:space="preserve">VKING.IS </v>
      </c>
    </row>
    <row r="383" spans="1:6" x14ac:dyDescent="0.25">
      <c r="A383" t="s">
        <v>4</v>
      </c>
      <c r="B383" t="s">
        <v>655</v>
      </c>
      <c r="C383" t="s">
        <v>656</v>
      </c>
      <c r="D383" s="2">
        <v>43283</v>
      </c>
      <c r="E383">
        <f>IF(RIGHT(LeaversJoiners[[#This Row],[Code]],1)=")",1,0)</f>
        <v>0</v>
      </c>
      <c r="F383" t="str">
        <f>IF(LeaversJoiners[[#This Row],[Sütun1]]=1,LEFT(LeaversJoiners[[#This Row],[Code]],FIND("^",LeaversJoiners[[#This Row],[Code]])-1),LeaversJoiners[[#This Row],[Code]])</f>
        <v xml:space="preserve">YAYLA.IS </v>
      </c>
    </row>
    <row r="384" spans="1:6" x14ac:dyDescent="0.25">
      <c r="A384" t="s">
        <v>29</v>
      </c>
      <c r="B384" t="s">
        <v>657</v>
      </c>
      <c r="C384" t="s">
        <v>658</v>
      </c>
      <c r="D384" s="2">
        <v>43258</v>
      </c>
      <c r="E384">
        <f>IF(RIGHT(LeaversJoiners[[#This Row],[Code]],1)=")",1,0)</f>
        <v>1</v>
      </c>
      <c r="F384" t="str">
        <f>IF(LeaversJoiners[[#This Row],[Sütun1]]=1,LEFT(LeaversJoiners[[#This Row],[Code]],FIND("^",LeaversJoiners[[#This Row],[Code]])-1),LeaversJoiners[[#This Row],[Code]])</f>
        <v>EGCYO.IS</v>
      </c>
    </row>
    <row r="385" spans="1:6" x14ac:dyDescent="0.25">
      <c r="A385" t="s">
        <v>4</v>
      </c>
      <c r="B385" t="s">
        <v>659</v>
      </c>
      <c r="C385" t="s">
        <v>660</v>
      </c>
      <c r="D385" s="2">
        <v>43242</v>
      </c>
      <c r="E385">
        <f>IF(RIGHT(LeaversJoiners[[#This Row],[Code]],1)=")",1,0)</f>
        <v>0</v>
      </c>
      <c r="F385" t="str">
        <f>IF(LeaversJoiners[[#This Row],[Sütun1]]=1,LEFT(LeaversJoiners[[#This Row],[Code]],FIND("^",LeaversJoiners[[#This Row],[Code]])-1),LeaversJoiners[[#This Row],[Code]])</f>
        <v xml:space="preserve">FORMT.IS </v>
      </c>
    </row>
    <row r="386" spans="1:6" x14ac:dyDescent="0.25">
      <c r="A386" t="s">
        <v>4</v>
      </c>
      <c r="B386" t="s">
        <v>661</v>
      </c>
      <c r="C386" t="s">
        <v>662</v>
      </c>
      <c r="D386" s="2">
        <v>43238</v>
      </c>
      <c r="E386">
        <f>IF(RIGHT(LeaversJoiners[[#This Row],[Code]],1)=")",1,0)</f>
        <v>0</v>
      </c>
      <c r="F386" t="str">
        <f>IF(LeaversJoiners[[#This Row],[Sütun1]]=1,LEFT(LeaversJoiners[[#This Row],[Code]],FIND("^",LeaversJoiners[[#This Row],[Code]])-1),LeaversJoiners[[#This Row],[Code]])</f>
        <v xml:space="preserve">SOKM.IS </v>
      </c>
    </row>
    <row r="387" spans="1:6" x14ac:dyDescent="0.25">
      <c r="A387" t="s">
        <v>4</v>
      </c>
      <c r="B387" t="s">
        <v>663</v>
      </c>
      <c r="C387" t="s">
        <v>664</v>
      </c>
      <c r="D387" s="2">
        <v>43236</v>
      </c>
      <c r="E387">
        <f>IF(RIGHT(LeaversJoiners[[#This Row],[Code]],1)=")",1,0)</f>
        <v>0</v>
      </c>
      <c r="F387" t="str">
        <f>IF(LeaversJoiners[[#This Row],[Sütun1]]=1,LEFT(LeaversJoiners[[#This Row],[Code]],FIND("^",LeaversJoiners[[#This Row],[Code]])-1),LeaversJoiners[[#This Row],[Code]])</f>
        <v xml:space="preserve">KFEIN.IS </v>
      </c>
    </row>
    <row r="388" spans="1:6" x14ac:dyDescent="0.25">
      <c r="A388" t="s">
        <v>4</v>
      </c>
      <c r="B388" t="s">
        <v>665</v>
      </c>
      <c r="C388" t="s">
        <v>666</v>
      </c>
      <c r="D388" s="2">
        <v>43209</v>
      </c>
      <c r="E388">
        <f>IF(RIGHT(LeaversJoiners[[#This Row],[Code]],1)=")",1,0)</f>
        <v>0</v>
      </c>
      <c r="F388" t="str">
        <f>IF(LeaversJoiners[[#This Row],[Sütun1]]=1,LEFT(LeaversJoiners[[#This Row],[Code]],FIND("^",LeaversJoiners[[#This Row],[Code]])-1),LeaversJoiners[[#This Row],[Code]])</f>
        <v xml:space="preserve">ISDMR.IS </v>
      </c>
    </row>
    <row r="389" spans="1:6" x14ac:dyDescent="0.25">
      <c r="A389" t="s">
        <v>4</v>
      </c>
      <c r="B389" t="s">
        <v>667</v>
      </c>
      <c r="C389" t="s">
        <v>668</v>
      </c>
      <c r="D389" s="2">
        <v>43159</v>
      </c>
      <c r="E389">
        <f>IF(RIGHT(LeaversJoiners[[#This Row],[Code]],1)=")",1,0)</f>
        <v>0</v>
      </c>
      <c r="F389" t="str">
        <f>IF(LeaversJoiners[[#This Row],[Sütun1]]=1,LEFT(LeaversJoiners[[#This Row],[Code]],FIND("^",LeaversJoiners[[#This Row],[Code]])-1),LeaversJoiners[[#This Row],[Code]])</f>
        <v xml:space="preserve">YESIL.IS </v>
      </c>
    </row>
    <row r="390" spans="1:6" x14ac:dyDescent="0.25">
      <c r="A390" t="s">
        <v>4</v>
      </c>
      <c r="B390" t="s">
        <v>613</v>
      </c>
      <c r="C390" t="s">
        <v>614</v>
      </c>
      <c r="D390" s="2">
        <v>43154</v>
      </c>
      <c r="E390">
        <f>IF(RIGHT(LeaversJoiners[[#This Row],[Code]],1)=")",1,0)</f>
        <v>0</v>
      </c>
      <c r="F390" t="str">
        <f>IF(LeaversJoiners[[#This Row],[Sütun1]]=1,LEFT(LeaversJoiners[[#This Row],[Code]],FIND("^",LeaversJoiners[[#This Row],[Code]])-1),LeaversJoiners[[#This Row],[Code]])</f>
        <v xml:space="preserve">TDGYO.IS </v>
      </c>
    </row>
    <row r="391" spans="1:6" x14ac:dyDescent="0.25">
      <c r="A391" t="s">
        <v>4</v>
      </c>
      <c r="B391" t="s">
        <v>669</v>
      </c>
      <c r="C391" t="s">
        <v>670</v>
      </c>
      <c r="D391" s="2">
        <v>43152</v>
      </c>
      <c r="E391">
        <f>IF(RIGHT(LeaversJoiners[[#This Row],[Code]],1)=")",1,0)</f>
        <v>0</v>
      </c>
      <c r="F391" t="str">
        <f>IF(LeaversJoiners[[#This Row],[Sütun1]]=1,LEFT(LeaversJoiners[[#This Row],[Code]],FIND("^",LeaversJoiners[[#This Row],[Code]])-1),LeaversJoiners[[#This Row],[Code]])</f>
        <v xml:space="preserve">PEKGY.IS </v>
      </c>
    </row>
    <row r="392" spans="1:6" x14ac:dyDescent="0.25">
      <c r="A392" t="s">
        <v>4</v>
      </c>
      <c r="B392" t="s">
        <v>671</v>
      </c>
      <c r="C392" t="s">
        <v>672</v>
      </c>
      <c r="D392" s="2">
        <v>43145</v>
      </c>
      <c r="E392">
        <f>IF(RIGHT(LeaversJoiners[[#This Row],[Code]],1)=")",1,0)</f>
        <v>0</v>
      </c>
      <c r="F392" t="str">
        <f>IF(LeaversJoiners[[#This Row],[Sütun1]]=1,LEFT(LeaversJoiners[[#This Row],[Code]],FIND("^",LeaversJoiners[[#This Row],[Code]])-1),LeaversJoiners[[#This Row],[Code]])</f>
        <v xml:space="preserve">MPARK.IS </v>
      </c>
    </row>
    <row r="393" spans="1:6" x14ac:dyDescent="0.25">
      <c r="A393" t="s">
        <v>4</v>
      </c>
      <c r="B393" t="s">
        <v>673</v>
      </c>
      <c r="C393" t="s">
        <v>674</v>
      </c>
      <c r="D393" s="2">
        <v>43140</v>
      </c>
      <c r="E393">
        <f>IF(RIGHT(LeaversJoiners[[#This Row],[Code]],1)=")",1,0)</f>
        <v>0</v>
      </c>
      <c r="F393" t="str">
        <f>IF(LeaversJoiners[[#This Row],[Sütun1]]=1,LEFT(LeaversJoiners[[#This Row],[Code]],FIND("^",LeaversJoiners[[#This Row],[Code]])-1),LeaversJoiners[[#This Row],[Code]])</f>
        <v xml:space="preserve">ENJSA.IS </v>
      </c>
    </row>
    <row r="394" spans="1:6" x14ac:dyDescent="0.25">
      <c r="A394" t="s">
        <v>4</v>
      </c>
      <c r="B394" t="s">
        <v>675</v>
      </c>
      <c r="C394" t="s">
        <v>676</v>
      </c>
      <c r="D394" s="2">
        <v>43125</v>
      </c>
      <c r="E394">
        <f>IF(RIGHT(LeaversJoiners[[#This Row],[Code]],1)=")",1,0)</f>
        <v>0</v>
      </c>
      <c r="F394" t="str">
        <f>IF(LeaversJoiners[[#This Row],[Sütun1]]=1,LEFT(LeaversJoiners[[#This Row],[Code]],FIND("^",LeaversJoiners[[#This Row],[Code]])-1),LeaversJoiners[[#This Row],[Code]])</f>
        <v xml:space="preserve">TLMAN.IS </v>
      </c>
    </row>
    <row r="395" spans="1:6" x14ac:dyDescent="0.25">
      <c r="A395" t="s">
        <v>4</v>
      </c>
      <c r="B395" t="s">
        <v>677</v>
      </c>
      <c r="C395" t="s">
        <v>678</v>
      </c>
      <c r="D395" s="2">
        <v>43117</v>
      </c>
      <c r="E395">
        <f>IF(RIGHT(LeaversJoiners[[#This Row],[Code]],1)=")",1,0)</f>
        <v>0</v>
      </c>
      <c r="F395" t="str">
        <f>IF(LeaversJoiners[[#This Row],[Sütun1]]=1,LEFT(LeaversJoiners[[#This Row],[Code]],FIND("^",LeaversJoiners[[#This Row],[Code]])-1),LeaversJoiners[[#This Row],[Code]])</f>
        <v xml:space="preserve">SAFKR.IS </v>
      </c>
    </row>
    <row r="396" spans="1:6" x14ac:dyDescent="0.25">
      <c r="A396" t="s">
        <v>4</v>
      </c>
      <c r="B396" t="s">
        <v>679</v>
      </c>
      <c r="C396" t="s">
        <v>680</v>
      </c>
      <c r="D396" s="2">
        <v>43103</v>
      </c>
      <c r="E396">
        <f>IF(RIGHT(LeaversJoiners[[#This Row],[Code]],1)=")",1,0)</f>
        <v>0</v>
      </c>
      <c r="F396" t="str">
        <f>IF(LeaversJoiners[[#This Row],[Sütun1]]=1,LEFT(LeaversJoiners[[#This Row],[Code]],FIND("^",LeaversJoiners[[#This Row],[Code]])-1),LeaversJoiners[[#This Row],[Code]])</f>
        <v xml:space="preserve">DZGYO.IS </v>
      </c>
    </row>
    <row r="397" spans="1:6" x14ac:dyDescent="0.25">
      <c r="A397" t="s">
        <v>4</v>
      </c>
      <c r="B397" t="s">
        <v>681</v>
      </c>
      <c r="C397" t="s">
        <v>682</v>
      </c>
      <c r="D397" s="2">
        <v>43103</v>
      </c>
      <c r="E397">
        <f>IF(RIGHT(LeaversJoiners[[#This Row],[Code]],1)=")",1,0)</f>
        <v>0</v>
      </c>
      <c r="F397" t="str">
        <f>IF(LeaversJoiners[[#This Row],[Sütun1]]=1,LEFT(LeaversJoiners[[#This Row],[Code]],FIND("^",LeaversJoiners[[#This Row],[Code]])-1),LeaversJoiners[[#This Row],[Code]])</f>
        <v xml:space="preserve">DOGUB.IS </v>
      </c>
    </row>
    <row r="398" spans="1:6" x14ac:dyDescent="0.25">
      <c r="A398" t="s">
        <v>4</v>
      </c>
      <c r="B398" t="s">
        <v>683</v>
      </c>
      <c r="C398" t="s">
        <v>684</v>
      </c>
      <c r="D398" s="2">
        <v>43103</v>
      </c>
      <c r="E398">
        <f>IF(RIGHT(LeaversJoiners[[#This Row],[Code]],1)=")",1,0)</f>
        <v>0</v>
      </c>
      <c r="F398" t="str">
        <f>IF(LeaversJoiners[[#This Row],[Sütun1]]=1,LEFT(LeaversJoiners[[#This Row],[Code]],FIND("^",LeaversJoiners[[#This Row],[Code]])-1),LeaversJoiners[[#This Row],[Code]])</f>
        <v xml:space="preserve">KAPLM.IS </v>
      </c>
    </row>
    <row r="399" spans="1:6" x14ac:dyDescent="0.25">
      <c r="A399" t="s">
        <v>4</v>
      </c>
      <c r="B399" t="s">
        <v>629</v>
      </c>
      <c r="C399" t="s">
        <v>630</v>
      </c>
      <c r="D399" s="2">
        <v>43103</v>
      </c>
      <c r="E399">
        <f>IF(RIGHT(LeaversJoiners[[#This Row],[Code]],1)=")",1,0)</f>
        <v>0</v>
      </c>
      <c r="F399" t="str">
        <f>IF(LeaversJoiners[[#This Row],[Sütun1]]=1,LEFT(LeaversJoiners[[#This Row],[Code]],FIND("^",LeaversJoiners[[#This Row],[Code]])-1),LeaversJoiners[[#This Row],[Code]])</f>
        <v xml:space="preserve">KRTEK.IS </v>
      </c>
    </row>
    <row r="400" spans="1:6" x14ac:dyDescent="0.25">
      <c r="A400" t="s">
        <v>4</v>
      </c>
      <c r="B400" t="s">
        <v>599</v>
      </c>
      <c r="C400" t="s">
        <v>600</v>
      </c>
      <c r="D400" s="2">
        <v>43103</v>
      </c>
      <c r="E400">
        <f>IF(RIGHT(LeaversJoiners[[#This Row],[Code]],1)=")",1,0)</f>
        <v>0</v>
      </c>
      <c r="F400" t="str">
        <f>IF(LeaversJoiners[[#This Row],[Sütun1]]=1,LEFT(LeaversJoiners[[#This Row],[Code]],FIND("^",LeaversJoiners[[#This Row],[Code]])-1),LeaversJoiners[[#This Row],[Code]])</f>
        <v xml:space="preserve">OSMEN.IS </v>
      </c>
    </row>
    <row r="401" spans="1:6" x14ac:dyDescent="0.25">
      <c r="A401" t="s">
        <v>4</v>
      </c>
      <c r="B401" t="s">
        <v>685</v>
      </c>
      <c r="C401" t="s">
        <v>686</v>
      </c>
      <c r="D401" s="2">
        <v>43103</v>
      </c>
      <c r="E401">
        <f>IF(RIGHT(LeaversJoiners[[#This Row],[Code]],1)=")",1,0)</f>
        <v>0</v>
      </c>
      <c r="F401" t="str">
        <f>IF(LeaversJoiners[[#This Row],[Sütun1]]=1,LEFT(LeaversJoiners[[#This Row],[Code]],FIND("^",LeaversJoiners[[#This Row],[Code]])-1),LeaversJoiners[[#This Row],[Code]])</f>
        <v xml:space="preserve">RAYSG.IS </v>
      </c>
    </row>
    <row r="402" spans="1:6" x14ac:dyDescent="0.25">
      <c r="A402" t="s">
        <v>4</v>
      </c>
      <c r="B402" t="s">
        <v>687</v>
      </c>
      <c r="C402" t="s">
        <v>688</v>
      </c>
      <c r="D402" s="2">
        <v>43103</v>
      </c>
      <c r="E402">
        <f>IF(RIGHT(LeaversJoiners[[#This Row],[Code]],1)=")",1,0)</f>
        <v>0</v>
      </c>
      <c r="F402" t="str">
        <f>IF(LeaversJoiners[[#This Row],[Sütun1]]=1,LEFT(LeaversJoiners[[#This Row],[Code]],FIND("^",LeaversJoiners[[#This Row],[Code]])-1),LeaversJoiners[[#This Row],[Code]])</f>
        <v xml:space="preserve">SONME.IS </v>
      </c>
    </row>
    <row r="403" spans="1:6" x14ac:dyDescent="0.25">
      <c r="A403" t="s">
        <v>4</v>
      </c>
      <c r="B403" t="s">
        <v>78</v>
      </c>
      <c r="C403" t="s">
        <v>79</v>
      </c>
      <c r="D403" s="2">
        <v>43103</v>
      </c>
      <c r="E403">
        <f>IF(RIGHT(LeaversJoiners[[#This Row],[Code]],1)=")",1,0)</f>
        <v>0</v>
      </c>
      <c r="F403" t="str">
        <f>IF(LeaversJoiners[[#This Row],[Sütun1]]=1,LEFT(LeaversJoiners[[#This Row],[Code]],FIND("^",LeaversJoiners[[#This Row],[Code]])-1),LeaversJoiners[[#This Row],[Code]])</f>
        <v xml:space="preserve">SNPAM.IS </v>
      </c>
    </row>
    <row r="404" spans="1:6" x14ac:dyDescent="0.25">
      <c r="A404" t="s">
        <v>4</v>
      </c>
      <c r="B404" t="s">
        <v>615</v>
      </c>
      <c r="C404" t="s">
        <v>616</v>
      </c>
      <c r="D404" s="2">
        <v>43103</v>
      </c>
      <c r="E404">
        <f>IF(RIGHT(LeaversJoiners[[#This Row],[Code]],1)=")",1,0)</f>
        <v>0</v>
      </c>
      <c r="F404" t="str">
        <f>IF(LeaversJoiners[[#This Row],[Sütun1]]=1,LEFT(LeaversJoiners[[#This Row],[Code]],FIND("^",LeaversJoiners[[#This Row],[Code]])-1),LeaversJoiners[[#This Row],[Code]])</f>
        <v xml:space="preserve">ULAS.IS </v>
      </c>
    </row>
    <row r="405" spans="1:6" x14ac:dyDescent="0.25">
      <c r="A405" t="s">
        <v>29</v>
      </c>
      <c r="B405" t="s">
        <v>689</v>
      </c>
      <c r="C405" t="s">
        <v>690</v>
      </c>
      <c r="D405" s="2">
        <v>43098</v>
      </c>
      <c r="E405">
        <f>IF(RIGHT(LeaversJoiners[[#This Row],[Code]],1)=")",1,0)</f>
        <v>1</v>
      </c>
      <c r="F405" t="str">
        <f>IF(LeaversJoiners[[#This Row],[Sütun1]]=1,LEFT(LeaversJoiners[[#This Row],[Code]],FIND("^",LeaversJoiners[[#This Row],[Code]])-1),LeaversJoiners[[#This Row],[Code]])</f>
        <v>PIMAS.IS</v>
      </c>
    </row>
    <row r="406" spans="1:6" x14ac:dyDescent="0.25">
      <c r="A406" t="s">
        <v>29</v>
      </c>
      <c r="B406" t="s">
        <v>691</v>
      </c>
      <c r="C406" t="s">
        <v>692</v>
      </c>
      <c r="D406" s="2">
        <v>43031</v>
      </c>
      <c r="E406">
        <f>IF(RIGHT(LeaversJoiners[[#This Row],[Code]],1)=")",1,0)</f>
        <v>1</v>
      </c>
      <c r="F406" t="str">
        <f>IF(LeaversJoiners[[#This Row],[Sütun1]]=1,LEFT(LeaversJoiners[[#This Row],[Code]],FIND("^",LeaversJoiners[[#This Row],[Code]])-1),LeaversJoiners[[#This Row],[Code]])</f>
        <v>NTTUR.IS</v>
      </c>
    </row>
    <row r="407" spans="1:6" x14ac:dyDescent="0.25">
      <c r="A407" t="s">
        <v>29</v>
      </c>
      <c r="B407" t="s">
        <v>693</v>
      </c>
      <c r="C407" t="s">
        <v>694</v>
      </c>
      <c r="D407" s="2">
        <v>43013</v>
      </c>
      <c r="E407">
        <f>IF(RIGHT(LeaversJoiners[[#This Row],[Code]],1)=")",1,0)</f>
        <v>1</v>
      </c>
      <c r="F407" t="str">
        <f>IF(LeaversJoiners[[#This Row],[Sütun1]]=1,LEFT(LeaversJoiners[[#This Row],[Code]],FIND("^",LeaversJoiners[[#This Row],[Code]])-1),LeaversJoiners[[#This Row],[Code]])</f>
        <v>USAS.IS</v>
      </c>
    </row>
    <row r="408" spans="1:6" x14ac:dyDescent="0.25">
      <c r="A408" t="s">
        <v>29</v>
      </c>
      <c r="B408" t="s">
        <v>695</v>
      </c>
      <c r="C408" t="s">
        <v>696</v>
      </c>
      <c r="D408" s="2">
        <v>42976</v>
      </c>
      <c r="E408">
        <f>IF(RIGHT(LeaversJoiners[[#This Row],[Code]],1)=")",1,0)</f>
        <v>1</v>
      </c>
      <c r="F408" t="str">
        <f>IF(LeaversJoiners[[#This Row],[Sütun1]]=1,LEFT(LeaversJoiners[[#This Row],[Code]],FIND("^",LeaversJoiners[[#This Row],[Code]])-1),LeaversJoiners[[#This Row],[Code]])</f>
        <v>BMEKS.IS</v>
      </c>
    </row>
    <row r="409" spans="1:6" x14ac:dyDescent="0.25">
      <c r="A409" t="s">
        <v>4</v>
      </c>
      <c r="B409" t="s">
        <v>270</v>
      </c>
      <c r="C409" t="s">
        <v>271</v>
      </c>
      <c r="D409" s="2">
        <v>42933</v>
      </c>
      <c r="E409">
        <f>IF(RIGHT(LeaversJoiners[[#This Row],[Code]],1)=")",1,0)</f>
        <v>0</v>
      </c>
      <c r="F409" t="str">
        <f>IF(LeaversJoiners[[#This Row],[Sütun1]]=1,LEFT(LeaversJoiners[[#This Row],[Code]],FIND("^",LeaversJoiners[[#This Row],[Code]])-1),LeaversJoiners[[#This Row],[Code]])</f>
        <v xml:space="preserve">MARKA.IS </v>
      </c>
    </row>
    <row r="410" spans="1:6" x14ac:dyDescent="0.25">
      <c r="A410" t="s">
        <v>4</v>
      </c>
      <c r="B410" t="s">
        <v>524</v>
      </c>
      <c r="C410" t="s">
        <v>525</v>
      </c>
      <c r="D410" s="2">
        <v>42920</v>
      </c>
      <c r="E410">
        <f>IF(RIGHT(LeaversJoiners[[#This Row],[Code]],1)=")",1,0)</f>
        <v>0</v>
      </c>
      <c r="F410" t="str">
        <f>IF(LeaversJoiners[[#This Row],[Sütun1]]=1,LEFT(LeaversJoiners[[#This Row],[Code]],FIND("^",LeaversJoiners[[#This Row],[Code]])-1),LeaversJoiners[[#This Row],[Code]])</f>
        <v xml:space="preserve">BRMEN.IS </v>
      </c>
    </row>
    <row r="411" spans="1:6" x14ac:dyDescent="0.25">
      <c r="A411" t="s">
        <v>4</v>
      </c>
      <c r="B411" t="s">
        <v>697</v>
      </c>
      <c r="C411" t="s">
        <v>698</v>
      </c>
      <c r="D411" s="2">
        <v>42920</v>
      </c>
      <c r="E411">
        <f>IF(RIGHT(LeaversJoiners[[#This Row],[Code]],1)=")",1,0)</f>
        <v>0</v>
      </c>
      <c r="F411" t="str">
        <f>IF(LeaversJoiners[[#This Row],[Sütun1]]=1,LEFT(LeaversJoiners[[#This Row],[Code]],FIND("^",LeaversJoiners[[#This Row],[Code]])-1),LeaversJoiners[[#This Row],[Code]])</f>
        <v xml:space="preserve">CELHA.IS </v>
      </c>
    </row>
    <row r="412" spans="1:6" x14ac:dyDescent="0.25">
      <c r="A412" t="s">
        <v>4</v>
      </c>
      <c r="B412" t="s">
        <v>657</v>
      </c>
      <c r="C412" t="s">
        <v>658</v>
      </c>
      <c r="D412" s="2">
        <v>42920</v>
      </c>
      <c r="E412">
        <f>IF(RIGHT(LeaversJoiners[[#This Row],[Code]],1)=")",1,0)</f>
        <v>1</v>
      </c>
      <c r="F412" t="str">
        <f>IF(LeaversJoiners[[#This Row],[Sütun1]]=1,LEFT(LeaversJoiners[[#This Row],[Code]],FIND("^",LeaversJoiners[[#This Row],[Code]])-1),LeaversJoiners[[#This Row],[Code]])</f>
        <v>EGCYO.IS</v>
      </c>
    </row>
    <row r="413" spans="1:6" x14ac:dyDescent="0.25">
      <c r="A413" t="s">
        <v>4</v>
      </c>
      <c r="B413" t="s">
        <v>699</v>
      </c>
      <c r="C413" t="s">
        <v>700</v>
      </c>
      <c r="D413" s="2">
        <v>42920</v>
      </c>
      <c r="E413">
        <f>IF(RIGHT(LeaversJoiners[[#This Row],[Code]],1)=")",1,0)</f>
        <v>0</v>
      </c>
      <c r="F413" t="str">
        <f>IF(LeaversJoiners[[#This Row],[Sütun1]]=1,LEFT(LeaversJoiners[[#This Row],[Code]],FIND("^",LeaversJoiners[[#This Row],[Code]])-1),LeaversJoiners[[#This Row],[Code]])</f>
        <v xml:space="preserve">EGPRO.IS </v>
      </c>
    </row>
    <row r="414" spans="1:6" x14ac:dyDescent="0.25">
      <c r="A414" t="s">
        <v>4</v>
      </c>
      <c r="B414" t="s">
        <v>701</v>
      </c>
      <c r="C414" t="s">
        <v>702</v>
      </c>
      <c r="D414" s="2">
        <v>42920</v>
      </c>
      <c r="E414">
        <f>IF(RIGHT(LeaversJoiners[[#This Row],[Code]],1)=")",1,0)</f>
        <v>0</v>
      </c>
      <c r="F414" t="str">
        <f>IF(LeaversJoiners[[#This Row],[Sütun1]]=1,LEFT(LeaversJoiners[[#This Row],[Code]],FIND("^",LeaversJoiners[[#This Row],[Code]])-1),LeaversJoiners[[#This Row],[Code]])</f>
        <v xml:space="preserve">GLRYH.IS </v>
      </c>
    </row>
    <row r="415" spans="1:6" x14ac:dyDescent="0.25">
      <c r="A415" t="s">
        <v>29</v>
      </c>
      <c r="B415" t="s">
        <v>586</v>
      </c>
      <c r="C415" t="s">
        <v>587</v>
      </c>
      <c r="D415" s="2">
        <v>42920</v>
      </c>
      <c r="E415">
        <f>IF(RIGHT(LeaversJoiners[[#This Row],[Code]],1)=")",1,0)</f>
        <v>0</v>
      </c>
      <c r="F415" t="str">
        <f>IF(LeaversJoiners[[#This Row],[Sütun1]]=1,LEFT(LeaversJoiners[[#This Row],[Code]],FIND("^",LeaversJoiners[[#This Row],[Code]])-1),LeaversJoiners[[#This Row],[Code]])</f>
        <v xml:space="preserve">INVEO.IS </v>
      </c>
    </row>
    <row r="416" spans="1:6" x14ac:dyDescent="0.25">
      <c r="A416" t="s">
        <v>4</v>
      </c>
      <c r="B416" t="s">
        <v>703</v>
      </c>
      <c r="C416" t="s">
        <v>704</v>
      </c>
      <c r="D416" s="2">
        <v>42920</v>
      </c>
      <c r="E416">
        <f>IF(RIGHT(LeaversJoiners[[#This Row],[Code]],1)=")",1,0)</f>
        <v>0</v>
      </c>
      <c r="F416" t="str">
        <f>IF(LeaversJoiners[[#This Row],[Sütun1]]=1,LEFT(LeaversJoiners[[#This Row],[Code]],FIND("^",LeaversJoiners[[#This Row],[Code]])-1),LeaversJoiners[[#This Row],[Code]])</f>
        <v xml:space="preserve">IZFAS.IS </v>
      </c>
    </row>
    <row r="417" spans="1:6" x14ac:dyDescent="0.25">
      <c r="A417" t="s">
        <v>4</v>
      </c>
      <c r="B417" t="s">
        <v>593</v>
      </c>
      <c r="C417" t="s">
        <v>594</v>
      </c>
      <c r="D417" s="2">
        <v>42920</v>
      </c>
      <c r="E417">
        <f>IF(RIGHT(LeaversJoiners[[#This Row],[Code]],1)=")",1,0)</f>
        <v>0</v>
      </c>
      <c r="F417" t="str">
        <f>IF(LeaversJoiners[[#This Row],[Sütun1]]=1,LEFT(LeaversJoiners[[#This Row],[Code]],FIND("^",LeaversJoiners[[#This Row],[Code]])-1),LeaversJoiners[[#This Row],[Code]])</f>
        <v xml:space="preserve">LIDFA.IS </v>
      </c>
    </row>
    <row r="418" spans="1:6" x14ac:dyDescent="0.25">
      <c r="A418" t="s">
        <v>4</v>
      </c>
      <c r="B418" t="s">
        <v>705</v>
      </c>
      <c r="C418" t="s">
        <v>706</v>
      </c>
      <c r="D418" s="2">
        <v>42920</v>
      </c>
      <c r="E418">
        <f>IF(RIGHT(LeaversJoiners[[#This Row],[Code]],1)=")",1,0)</f>
        <v>0</v>
      </c>
      <c r="F418" t="str">
        <f>IF(LeaversJoiners[[#This Row],[Sütun1]]=1,LEFT(LeaversJoiners[[#This Row],[Code]],FIND("^",LeaversJoiners[[#This Row],[Code]])-1),LeaversJoiners[[#This Row],[Code]])</f>
        <v xml:space="preserve">BLUME.IS </v>
      </c>
    </row>
    <row r="419" spans="1:6" x14ac:dyDescent="0.25">
      <c r="A419" t="s">
        <v>4</v>
      </c>
      <c r="B419" t="s">
        <v>707</v>
      </c>
      <c r="C419" t="s">
        <v>708</v>
      </c>
      <c r="D419" s="2">
        <v>42920</v>
      </c>
      <c r="E419">
        <f>IF(RIGHT(LeaversJoiners[[#This Row],[Code]],1)=")",1,0)</f>
        <v>0</v>
      </c>
      <c r="F419" t="str">
        <f>IF(LeaversJoiners[[#This Row],[Sütun1]]=1,LEFT(LeaversJoiners[[#This Row],[Code]],FIND("^",LeaversJoiners[[#This Row],[Code]])-1),LeaversJoiners[[#This Row],[Code]])</f>
        <v xml:space="preserve">SEKFK.IS </v>
      </c>
    </row>
    <row r="420" spans="1:6" x14ac:dyDescent="0.25">
      <c r="A420" t="s">
        <v>4</v>
      </c>
      <c r="B420" t="s">
        <v>709</v>
      </c>
      <c r="C420" t="s">
        <v>710</v>
      </c>
      <c r="D420" s="2">
        <v>42920</v>
      </c>
      <c r="E420">
        <f>IF(RIGHT(LeaversJoiners[[#This Row],[Code]],1)=")",1,0)</f>
        <v>0</v>
      </c>
      <c r="F420" t="str">
        <f>IF(LeaversJoiners[[#This Row],[Sütun1]]=1,LEFT(LeaversJoiners[[#This Row],[Code]],FIND("^",LeaversJoiners[[#This Row],[Code]])-1),LeaversJoiners[[#This Row],[Code]])</f>
        <v xml:space="preserve">SRVGY.IS </v>
      </c>
    </row>
    <row r="421" spans="1:6" x14ac:dyDescent="0.25">
      <c r="A421" t="s">
        <v>4</v>
      </c>
      <c r="B421" t="s">
        <v>82</v>
      </c>
      <c r="C421" t="s">
        <v>83</v>
      </c>
      <c r="D421" s="2">
        <v>42920</v>
      </c>
      <c r="E421">
        <f>IF(RIGHT(LeaversJoiners[[#This Row],[Code]],1)=")",1,0)</f>
        <v>0</v>
      </c>
      <c r="F421" t="str">
        <f>IF(LeaversJoiners[[#This Row],[Sütun1]]=1,LEFT(LeaversJoiners[[#This Row],[Code]],FIND("^",LeaversJoiners[[#This Row],[Code]])-1),LeaversJoiners[[#This Row],[Code]])</f>
        <v xml:space="preserve">KLNMA.IS </v>
      </c>
    </row>
    <row r="422" spans="1:6" x14ac:dyDescent="0.25">
      <c r="A422" t="s">
        <v>4</v>
      </c>
      <c r="B422" t="s">
        <v>711</v>
      </c>
      <c r="C422" t="s">
        <v>712</v>
      </c>
      <c r="D422" s="2">
        <v>42920</v>
      </c>
      <c r="E422">
        <f>IF(RIGHT(LeaversJoiners[[#This Row],[Code]],1)=")",1,0)</f>
        <v>0</v>
      </c>
      <c r="F422" t="str">
        <f>IF(LeaversJoiners[[#This Row],[Sütun1]]=1,LEFT(LeaversJoiners[[#This Row],[Code]],FIND("^",LeaversJoiners[[#This Row],[Code]])-1),LeaversJoiners[[#This Row],[Code]])</f>
        <v xml:space="preserve">VANGD.IS </v>
      </c>
    </row>
    <row r="423" spans="1:6" x14ac:dyDescent="0.25">
      <c r="A423" t="s">
        <v>4</v>
      </c>
      <c r="B423" t="s">
        <v>713</v>
      </c>
      <c r="C423" t="s">
        <v>714</v>
      </c>
      <c r="D423" s="2">
        <v>42902</v>
      </c>
      <c r="E423">
        <f>IF(RIGHT(LeaversJoiners[[#This Row],[Code]],1)=")",1,0)</f>
        <v>0</v>
      </c>
      <c r="F423" t="str">
        <f>IF(LeaversJoiners[[#This Row],[Sütun1]]=1,LEFT(LeaversJoiners[[#This Row],[Code]],FIND("^",LeaversJoiners[[#This Row],[Code]])-1),LeaversJoiners[[#This Row],[Code]])</f>
        <v xml:space="preserve">MAVI.IS </v>
      </c>
    </row>
    <row r="424" spans="1:6" x14ac:dyDescent="0.25">
      <c r="A424" t="s">
        <v>4</v>
      </c>
      <c r="B424" t="s">
        <v>715</v>
      </c>
      <c r="C424" t="s">
        <v>716</v>
      </c>
      <c r="D424" s="2">
        <v>42863</v>
      </c>
      <c r="E424">
        <f>IF(RIGHT(LeaversJoiners[[#This Row],[Code]],1)=")",1,0)</f>
        <v>0</v>
      </c>
      <c r="F424" t="str">
        <f>IF(LeaversJoiners[[#This Row],[Sütun1]]=1,LEFT(LeaversJoiners[[#This Row],[Code]],FIND("^",LeaversJoiners[[#This Row],[Code]])-1),LeaversJoiners[[#This Row],[Code]])</f>
        <v xml:space="preserve">FONET.IS </v>
      </c>
    </row>
    <row r="425" spans="1:6" x14ac:dyDescent="0.25">
      <c r="A425" t="s">
        <v>4</v>
      </c>
      <c r="B425" t="s">
        <v>586</v>
      </c>
      <c r="C425" t="s">
        <v>587</v>
      </c>
      <c r="D425" s="2">
        <v>42803</v>
      </c>
      <c r="E425">
        <f>IF(RIGHT(LeaversJoiners[[#This Row],[Code]],1)=")",1,0)</f>
        <v>0</v>
      </c>
      <c r="F425" t="str">
        <f>IF(LeaversJoiners[[#This Row],[Sütun1]]=1,LEFT(LeaversJoiners[[#This Row],[Code]],FIND("^",LeaversJoiners[[#This Row],[Code]])-1),LeaversJoiners[[#This Row],[Code]])</f>
        <v xml:space="preserve">INVEO.IS </v>
      </c>
    </row>
    <row r="426" spans="1:6" x14ac:dyDescent="0.25">
      <c r="A426" t="s">
        <v>4</v>
      </c>
      <c r="B426" t="s">
        <v>717</v>
      </c>
      <c r="C426" t="s">
        <v>718</v>
      </c>
      <c r="D426" s="2">
        <v>42755</v>
      </c>
      <c r="E426">
        <f>IF(RIGHT(LeaversJoiners[[#This Row],[Code]],1)=")",1,0)</f>
        <v>0</v>
      </c>
      <c r="F426" t="str">
        <f>IF(LeaversJoiners[[#This Row],[Sütun1]]=1,LEFT(LeaversJoiners[[#This Row],[Code]],FIND("^",LeaversJoiners[[#This Row],[Code]])-1),LeaversJoiners[[#This Row],[Code]])</f>
        <v xml:space="preserve">MSGYO.IS </v>
      </c>
    </row>
    <row r="427" spans="1:6" x14ac:dyDescent="0.25">
      <c r="A427" t="s">
        <v>29</v>
      </c>
      <c r="B427" t="s">
        <v>719</v>
      </c>
      <c r="C427" t="s">
        <v>720</v>
      </c>
      <c r="D427" s="2">
        <v>42755</v>
      </c>
      <c r="E427">
        <f>IF(RIGHT(LeaversJoiners[[#This Row],[Code]],1)=")",1,0)</f>
        <v>1</v>
      </c>
      <c r="F427" t="str">
        <f>IF(LeaversJoiners[[#This Row],[Sütun1]]=1,LEFT(LeaversJoiners[[#This Row],[Code]],FIND("^",LeaversJoiners[[#This Row],[Code]])-1),LeaversJoiners[[#This Row],[Code]])</f>
        <v>SAFGY.IS</v>
      </c>
    </row>
    <row r="428" spans="1:6" x14ac:dyDescent="0.25">
      <c r="A428" t="s">
        <v>29</v>
      </c>
      <c r="B428" t="s">
        <v>639</v>
      </c>
      <c r="C428" t="s">
        <v>640</v>
      </c>
      <c r="D428" s="2">
        <v>42738</v>
      </c>
      <c r="E428">
        <f>IF(RIGHT(LeaversJoiners[[#This Row],[Code]],1)=")",1,0)</f>
        <v>0</v>
      </c>
      <c r="F428" t="str">
        <f>IF(LeaversJoiners[[#This Row],[Sütun1]]=1,LEFT(LeaversJoiners[[#This Row],[Code]],FIND("^",LeaversJoiners[[#This Row],[Code]])-1),LeaversJoiners[[#This Row],[Code]])</f>
        <v xml:space="preserve">AVHOL.IS </v>
      </c>
    </row>
    <row r="429" spans="1:6" x14ac:dyDescent="0.25">
      <c r="A429" t="s">
        <v>4</v>
      </c>
      <c r="B429" t="s">
        <v>360</v>
      </c>
      <c r="C429" t="s">
        <v>361</v>
      </c>
      <c r="D429" s="2">
        <v>42738</v>
      </c>
      <c r="E429">
        <f>IF(RIGHT(LeaversJoiners[[#This Row],[Code]],1)=")",1,0)</f>
        <v>0</v>
      </c>
      <c r="F429" t="str">
        <f>IF(LeaversJoiners[[#This Row],[Sütun1]]=1,LEFT(LeaversJoiners[[#This Row],[Code]],FIND("^",LeaversJoiners[[#This Row],[Code]])-1),LeaversJoiners[[#This Row],[Code]])</f>
        <v xml:space="preserve">DENGE.IS </v>
      </c>
    </row>
    <row r="430" spans="1:6" x14ac:dyDescent="0.25">
      <c r="A430" t="s">
        <v>4</v>
      </c>
      <c r="B430" t="s">
        <v>570</v>
      </c>
      <c r="C430" t="s">
        <v>571</v>
      </c>
      <c r="D430" s="2">
        <v>42738</v>
      </c>
      <c r="E430">
        <f>IF(RIGHT(LeaversJoiners[[#This Row],[Code]],1)=")",1,0)</f>
        <v>1</v>
      </c>
      <c r="F430" t="str">
        <f>IF(LeaversJoiners[[#This Row],[Sütun1]]=1,LEFT(LeaversJoiners[[#This Row],[Code]],FIND("^",LeaversJoiners[[#This Row],[Code]])-1),LeaversJoiners[[#This Row],[Code]])</f>
        <v>DENIZ.IS</v>
      </c>
    </row>
    <row r="431" spans="1:6" x14ac:dyDescent="0.25">
      <c r="A431" t="s">
        <v>29</v>
      </c>
      <c r="B431" t="s">
        <v>681</v>
      </c>
      <c r="C431" t="s">
        <v>682</v>
      </c>
      <c r="D431" s="2">
        <v>42738</v>
      </c>
      <c r="E431">
        <f>IF(RIGHT(LeaversJoiners[[#This Row],[Code]],1)=")",1,0)</f>
        <v>0</v>
      </c>
      <c r="F431" t="str">
        <f>IF(LeaversJoiners[[#This Row],[Sütun1]]=1,LEFT(LeaversJoiners[[#This Row],[Code]],FIND("^",LeaversJoiners[[#This Row],[Code]])-1),LeaversJoiners[[#This Row],[Code]])</f>
        <v xml:space="preserve">DOGUB.IS </v>
      </c>
    </row>
    <row r="432" spans="1:6" x14ac:dyDescent="0.25">
      <c r="A432" t="s">
        <v>4</v>
      </c>
      <c r="B432" t="s">
        <v>721</v>
      </c>
      <c r="C432" t="s">
        <v>722</v>
      </c>
      <c r="D432" s="2">
        <v>42738</v>
      </c>
      <c r="E432">
        <f>IF(RIGHT(LeaversJoiners[[#This Row],[Code]],1)=")",1,0)</f>
        <v>0</v>
      </c>
      <c r="F432" t="str">
        <f>IF(LeaversJoiners[[#This Row],[Sütun1]]=1,LEFT(LeaversJoiners[[#This Row],[Code]],FIND("^",LeaversJoiners[[#This Row],[Code]])-1),LeaversJoiners[[#This Row],[Code]])</f>
        <v xml:space="preserve">NIBAS.IS </v>
      </c>
    </row>
    <row r="433" spans="1:6" x14ac:dyDescent="0.25">
      <c r="A433" t="s">
        <v>4</v>
      </c>
      <c r="B433" t="s">
        <v>723</v>
      </c>
      <c r="C433" t="s">
        <v>724</v>
      </c>
      <c r="D433" s="2">
        <v>42738</v>
      </c>
      <c r="E433">
        <f>IF(RIGHT(LeaversJoiners[[#This Row],[Code]],1)=")",1,0)</f>
        <v>0</v>
      </c>
      <c r="F433" t="str">
        <f>IF(LeaversJoiners[[#This Row],[Sütun1]]=1,LEFT(LeaversJoiners[[#This Row],[Code]],FIND("^",LeaversJoiners[[#This Row],[Code]])-1),LeaversJoiners[[#This Row],[Code]])</f>
        <v xml:space="preserve">OYLUM.IS </v>
      </c>
    </row>
    <row r="434" spans="1:6" x14ac:dyDescent="0.25">
      <c r="A434" t="s">
        <v>4</v>
      </c>
      <c r="B434" t="s">
        <v>689</v>
      </c>
      <c r="C434" t="s">
        <v>690</v>
      </c>
      <c r="D434" s="2">
        <v>42738</v>
      </c>
      <c r="E434">
        <f>IF(RIGHT(LeaversJoiners[[#This Row],[Code]],1)=")",1,0)</f>
        <v>1</v>
      </c>
      <c r="F434" t="str">
        <f>IF(LeaversJoiners[[#This Row],[Sütun1]]=1,LEFT(LeaversJoiners[[#This Row],[Code]],FIND("^",LeaversJoiners[[#This Row],[Code]])-1),LeaversJoiners[[#This Row],[Code]])</f>
        <v>PIMAS.IS</v>
      </c>
    </row>
    <row r="435" spans="1:6" x14ac:dyDescent="0.25">
      <c r="A435" t="s">
        <v>4</v>
      </c>
      <c r="B435" t="s">
        <v>725</v>
      </c>
      <c r="C435" t="s">
        <v>726</v>
      </c>
      <c r="D435" s="2">
        <v>42738</v>
      </c>
      <c r="E435">
        <f>IF(RIGHT(LeaversJoiners[[#This Row],[Code]],1)=")",1,0)</f>
        <v>0</v>
      </c>
      <c r="F435" t="str">
        <f>IF(LeaversJoiners[[#This Row],[Sütun1]]=1,LEFT(LeaversJoiners[[#This Row],[Code]],FIND("^",LeaversJoiners[[#This Row],[Code]])-1),LeaversJoiners[[#This Row],[Code]])</f>
        <v xml:space="preserve">PSDTC.IS </v>
      </c>
    </row>
    <row r="436" spans="1:6" x14ac:dyDescent="0.25">
      <c r="A436" t="s">
        <v>4</v>
      </c>
      <c r="B436" t="s">
        <v>727</v>
      </c>
      <c r="C436" t="s">
        <v>728</v>
      </c>
      <c r="D436" s="2">
        <v>42738</v>
      </c>
      <c r="E436">
        <f>IF(RIGHT(LeaversJoiners[[#This Row],[Code]],1)=")",1,0)</f>
        <v>0</v>
      </c>
      <c r="F436" t="str">
        <f>IF(LeaversJoiners[[#This Row],[Sütun1]]=1,LEFT(LeaversJoiners[[#This Row],[Code]],FIND("^",LeaversJoiners[[#This Row],[Code]])-1),LeaversJoiners[[#This Row],[Code]])</f>
        <v xml:space="preserve">SEKUR.IS </v>
      </c>
    </row>
    <row r="437" spans="1:6" x14ac:dyDescent="0.25">
      <c r="A437" t="s">
        <v>29</v>
      </c>
      <c r="B437" t="s">
        <v>709</v>
      </c>
      <c r="C437" t="s">
        <v>710</v>
      </c>
      <c r="D437" s="2">
        <v>42738</v>
      </c>
      <c r="E437">
        <f>IF(RIGHT(LeaversJoiners[[#This Row],[Code]],1)=")",1,0)</f>
        <v>0</v>
      </c>
      <c r="F437" t="str">
        <f>IF(LeaversJoiners[[#This Row],[Sütun1]]=1,LEFT(LeaversJoiners[[#This Row],[Code]],FIND("^",LeaversJoiners[[#This Row],[Code]])-1),LeaversJoiners[[#This Row],[Code]])</f>
        <v xml:space="preserve">SRVGY.IS </v>
      </c>
    </row>
    <row r="438" spans="1:6" x14ac:dyDescent="0.25">
      <c r="A438" t="s">
        <v>29</v>
      </c>
      <c r="B438" t="s">
        <v>729</v>
      </c>
      <c r="C438" t="s">
        <v>730</v>
      </c>
      <c r="D438" s="2">
        <v>42711</v>
      </c>
      <c r="E438">
        <f>IF(RIGHT(LeaversJoiners[[#This Row],[Code]],1)=")",1,0)</f>
        <v>1</v>
      </c>
      <c r="F438" t="str">
        <f>IF(LeaversJoiners[[#This Row],[Sütun1]]=1,LEFT(LeaversJoiners[[#This Row],[Code]],FIND("^",LeaversJoiners[[#This Row],[Code]])-1),LeaversJoiners[[#This Row],[Code]])</f>
        <v>ANELT.IS</v>
      </c>
    </row>
    <row r="439" spans="1:6" x14ac:dyDescent="0.25">
      <c r="A439" t="s">
        <v>29</v>
      </c>
      <c r="B439" t="s">
        <v>731</v>
      </c>
      <c r="C439" t="s">
        <v>732</v>
      </c>
      <c r="D439" s="2">
        <v>42711</v>
      </c>
      <c r="E439">
        <f>IF(RIGHT(LeaversJoiners[[#This Row],[Code]],1)=")",1,0)</f>
        <v>0</v>
      </c>
      <c r="F439" t="str">
        <f>IF(LeaversJoiners[[#This Row],[Sütun1]]=1,LEFT(LeaversJoiners[[#This Row],[Code]],FIND("^",LeaversJoiners[[#This Row],[Code]])-1),LeaversJoiners[[#This Row],[Code]])</f>
        <v xml:space="preserve">BRKO.IS </v>
      </c>
    </row>
    <row r="440" spans="1:6" x14ac:dyDescent="0.25">
      <c r="A440" t="s">
        <v>29</v>
      </c>
      <c r="B440" t="s">
        <v>733</v>
      </c>
      <c r="C440" t="s">
        <v>734</v>
      </c>
      <c r="D440" s="2">
        <v>42674</v>
      </c>
      <c r="E440">
        <f>IF(RIGHT(LeaversJoiners[[#This Row],[Code]],1)=")",1,0)</f>
        <v>1</v>
      </c>
      <c r="F440" t="str">
        <f>IF(LeaversJoiners[[#This Row],[Sütun1]]=1,LEFT(LeaversJoiners[[#This Row],[Code]],FIND("^",LeaversJoiners[[#This Row],[Code]])-1),LeaversJoiners[[#This Row],[Code]])</f>
        <v>UYUM.IS</v>
      </c>
    </row>
    <row r="441" spans="1:6" x14ac:dyDescent="0.25">
      <c r="A441" t="s">
        <v>29</v>
      </c>
      <c r="B441" t="s">
        <v>735</v>
      </c>
      <c r="C441" t="s">
        <v>736</v>
      </c>
      <c r="D441" s="2">
        <v>42605</v>
      </c>
      <c r="E441">
        <f>IF(RIGHT(LeaversJoiners[[#This Row],[Code]],1)=")",1,0)</f>
        <v>1</v>
      </c>
      <c r="F441" t="str">
        <f>IF(LeaversJoiners[[#This Row],[Sütun1]]=1,LEFT(LeaversJoiners[[#This Row],[Code]],FIND("^",LeaversJoiners[[#This Row],[Code]])-1),LeaversJoiners[[#This Row],[Code]])</f>
        <v>KRATL.IS</v>
      </c>
    </row>
    <row r="442" spans="1:6" x14ac:dyDescent="0.25">
      <c r="A442" t="s">
        <v>29</v>
      </c>
      <c r="B442" t="s">
        <v>737</v>
      </c>
      <c r="C442" t="s">
        <v>738</v>
      </c>
      <c r="D442" s="2">
        <v>42587</v>
      </c>
      <c r="E442">
        <f>IF(RIGHT(LeaversJoiners[[#This Row],[Code]],1)=")",1,0)</f>
        <v>1</v>
      </c>
      <c r="F442" t="str">
        <f>IF(LeaversJoiners[[#This Row],[Sütun1]]=1,LEFT(LeaversJoiners[[#This Row],[Code]],FIND("^",LeaversJoiners[[#This Row],[Code]])-1),LeaversJoiners[[#This Row],[Code]])</f>
        <v>ROYAL.IS</v>
      </c>
    </row>
    <row r="443" spans="1:6" x14ac:dyDescent="0.25">
      <c r="A443" t="s">
        <v>29</v>
      </c>
      <c r="B443" t="s">
        <v>739</v>
      </c>
      <c r="C443" t="s">
        <v>740</v>
      </c>
      <c r="D443" s="2">
        <v>42578</v>
      </c>
      <c r="E443">
        <f>IF(RIGHT(LeaversJoiners[[#This Row],[Code]],1)=")",1,0)</f>
        <v>1</v>
      </c>
      <c r="F443" t="str">
        <f>IF(LeaversJoiners[[#This Row],[Sütun1]]=1,LEFT(LeaversJoiners[[#This Row],[Code]],FIND("^",LeaversJoiners[[#This Row],[Code]])-1),LeaversJoiners[[#This Row],[Code]])</f>
        <v>VIAGO.IS</v>
      </c>
    </row>
    <row r="444" spans="1:6" x14ac:dyDescent="0.25">
      <c r="A444" t="s">
        <v>4</v>
      </c>
      <c r="B444" t="s">
        <v>741</v>
      </c>
      <c r="C444" t="s">
        <v>742</v>
      </c>
      <c r="D444" s="2">
        <v>42555</v>
      </c>
      <c r="E444">
        <f>IF(RIGHT(LeaversJoiners[[#This Row],[Code]],1)=")",1,0)</f>
        <v>0</v>
      </c>
      <c r="F444" t="str">
        <f>IF(LeaversJoiners[[#This Row],[Sütun1]]=1,LEFT(LeaversJoiners[[#This Row],[Code]],FIND("^",LeaversJoiners[[#This Row],[Code]])-1),LeaversJoiners[[#This Row],[Code]])</f>
        <v xml:space="preserve">BEYAZ.IS </v>
      </c>
    </row>
    <row r="445" spans="1:6" x14ac:dyDescent="0.25">
      <c r="A445" t="s">
        <v>4</v>
      </c>
      <c r="B445" t="s">
        <v>681</v>
      </c>
      <c r="C445" t="s">
        <v>682</v>
      </c>
      <c r="D445" s="2">
        <v>42555</v>
      </c>
      <c r="E445">
        <f>IF(RIGHT(LeaversJoiners[[#This Row],[Code]],1)=")",1,0)</f>
        <v>0</v>
      </c>
      <c r="F445" t="str">
        <f>IF(LeaversJoiners[[#This Row],[Sütun1]]=1,LEFT(LeaversJoiners[[#This Row],[Code]],FIND("^",LeaversJoiners[[#This Row],[Code]])-1),LeaversJoiners[[#This Row],[Code]])</f>
        <v xml:space="preserve">DOGUB.IS </v>
      </c>
    </row>
    <row r="446" spans="1:6" x14ac:dyDescent="0.25">
      <c r="A446" t="s">
        <v>29</v>
      </c>
      <c r="B446" t="s">
        <v>657</v>
      </c>
      <c r="C446" t="s">
        <v>658</v>
      </c>
      <c r="D446" s="2">
        <v>42555</v>
      </c>
      <c r="E446">
        <f>IF(RIGHT(LeaversJoiners[[#This Row],[Code]],1)=")",1,0)</f>
        <v>1</v>
      </c>
      <c r="F446" t="str">
        <f>IF(LeaversJoiners[[#This Row],[Sütun1]]=1,LEFT(LeaversJoiners[[#This Row],[Code]],FIND("^",LeaversJoiners[[#This Row],[Code]])-1),LeaversJoiners[[#This Row],[Code]])</f>
        <v>EGCYO.IS</v>
      </c>
    </row>
    <row r="447" spans="1:6" x14ac:dyDescent="0.25">
      <c r="A447" t="s">
        <v>4</v>
      </c>
      <c r="B447" t="s">
        <v>743</v>
      </c>
      <c r="C447" t="s">
        <v>744</v>
      </c>
      <c r="D447" s="2">
        <v>42555</v>
      </c>
      <c r="E447">
        <f>IF(RIGHT(LeaversJoiners[[#This Row],[Code]],1)=")",1,0)</f>
        <v>0</v>
      </c>
      <c r="F447" t="str">
        <f>IF(LeaversJoiners[[#This Row],[Sütun1]]=1,LEFT(LeaversJoiners[[#This Row],[Code]],FIND("^",LeaversJoiners[[#This Row],[Code]])-1),LeaversJoiners[[#This Row],[Code]])</f>
        <v xml:space="preserve">ERSU.IS </v>
      </c>
    </row>
    <row r="448" spans="1:6" x14ac:dyDescent="0.25">
      <c r="A448" t="s">
        <v>29</v>
      </c>
      <c r="B448" t="s">
        <v>548</v>
      </c>
      <c r="C448" t="s">
        <v>549</v>
      </c>
      <c r="D448" s="2">
        <v>42555</v>
      </c>
      <c r="E448">
        <f>IF(RIGHT(LeaversJoiners[[#This Row],[Code]],1)=")",1,0)</f>
        <v>0</v>
      </c>
      <c r="F448" t="str">
        <f>IF(LeaversJoiners[[#This Row],[Sütun1]]=1,LEFT(LeaversJoiners[[#This Row],[Code]],FIND("^",LeaversJoiners[[#This Row],[Code]])-1),LeaversJoiners[[#This Row],[Code]])</f>
        <v xml:space="preserve">GATEG.IS </v>
      </c>
    </row>
    <row r="449" spans="1:6" x14ac:dyDescent="0.25">
      <c r="A449" t="s">
        <v>29</v>
      </c>
      <c r="B449" t="s">
        <v>643</v>
      </c>
      <c r="C449" t="s">
        <v>644</v>
      </c>
      <c r="D449" s="2">
        <v>42555</v>
      </c>
      <c r="E449">
        <f>IF(RIGHT(LeaversJoiners[[#This Row],[Code]],1)=")",1,0)</f>
        <v>0</v>
      </c>
      <c r="F449" t="str">
        <f>IF(LeaversJoiners[[#This Row],[Sütun1]]=1,LEFT(LeaversJoiners[[#This Row],[Code]],FIND("^",LeaversJoiners[[#This Row],[Code]])-1),LeaversJoiners[[#This Row],[Code]])</f>
        <v xml:space="preserve">GEDIK.IS </v>
      </c>
    </row>
    <row r="450" spans="1:6" x14ac:dyDescent="0.25">
      <c r="A450" t="s">
        <v>29</v>
      </c>
      <c r="B450" t="s">
        <v>701</v>
      </c>
      <c r="C450" t="s">
        <v>702</v>
      </c>
      <c r="D450" s="2">
        <v>42555</v>
      </c>
      <c r="E450">
        <f>IF(RIGHT(LeaversJoiners[[#This Row],[Code]],1)=")",1,0)</f>
        <v>0</v>
      </c>
      <c r="F450" t="str">
        <f>IF(LeaversJoiners[[#This Row],[Sütun1]]=1,LEFT(LeaversJoiners[[#This Row],[Code]],FIND("^",LeaversJoiners[[#This Row],[Code]])-1),LeaversJoiners[[#This Row],[Code]])</f>
        <v xml:space="preserve">GLRYH.IS </v>
      </c>
    </row>
    <row r="451" spans="1:6" x14ac:dyDescent="0.25">
      <c r="A451" t="s">
        <v>4</v>
      </c>
      <c r="B451" t="s">
        <v>745</v>
      </c>
      <c r="C451" t="s">
        <v>746</v>
      </c>
      <c r="D451" s="2">
        <v>42555</v>
      </c>
      <c r="E451">
        <f>IF(RIGHT(LeaversJoiners[[#This Row],[Code]],1)=")",1,0)</f>
        <v>0</v>
      </c>
      <c r="F451" t="str">
        <f>IF(LeaversJoiners[[#This Row],[Sütun1]]=1,LEFT(LeaversJoiners[[#This Row],[Code]],FIND("^",LeaversJoiners[[#This Row],[Code]])-1),LeaversJoiners[[#This Row],[Code]])</f>
        <v xml:space="preserve">LINK.IS </v>
      </c>
    </row>
    <row r="452" spans="1:6" x14ac:dyDescent="0.25">
      <c r="A452" t="s">
        <v>29</v>
      </c>
      <c r="B452" t="s">
        <v>705</v>
      </c>
      <c r="C452" t="s">
        <v>706</v>
      </c>
      <c r="D452" s="2">
        <v>42555</v>
      </c>
      <c r="E452">
        <f>IF(RIGHT(LeaversJoiners[[#This Row],[Code]],1)=")",1,0)</f>
        <v>0</v>
      </c>
      <c r="F452" t="str">
        <f>IF(LeaversJoiners[[#This Row],[Sütun1]]=1,LEFT(LeaversJoiners[[#This Row],[Code]],FIND("^",LeaversJoiners[[#This Row],[Code]])-1),LeaversJoiners[[#This Row],[Code]])</f>
        <v xml:space="preserve">BLUME.IS </v>
      </c>
    </row>
    <row r="453" spans="1:6" x14ac:dyDescent="0.25">
      <c r="A453" t="s">
        <v>29</v>
      </c>
      <c r="B453" t="s">
        <v>122</v>
      </c>
      <c r="C453" t="s">
        <v>123</v>
      </c>
      <c r="D453" s="2">
        <v>42555</v>
      </c>
      <c r="E453">
        <f>IF(RIGHT(LeaversJoiners[[#This Row],[Code]],1)=")",1,0)</f>
        <v>0</v>
      </c>
      <c r="F453" t="str">
        <f>IF(LeaversJoiners[[#This Row],[Sütun1]]=1,LEFT(LeaversJoiners[[#This Row],[Code]],FIND("^",LeaversJoiners[[#This Row],[Code]])-1),LeaversJoiners[[#This Row],[Code]])</f>
        <v xml:space="preserve">OTTO.IS </v>
      </c>
    </row>
    <row r="454" spans="1:6" x14ac:dyDescent="0.25">
      <c r="A454" t="s">
        <v>4</v>
      </c>
      <c r="B454" t="s">
        <v>400</v>
      </c>
      <c r="C454" t="s">
        <v>401</v>
      </c>
      <c r="D454" s="2">
        <v>42555</v>
      </c>
      <c r="E454">
        <f>IF(RIGHT(LeaversJoiners[[#This Row],[Code]],1)=")",1,0)</f>
        <v>1</v>
      </c>
      <c r="F454" t="str">
        <f>IF(LeaversJoiners[[#This Row],[Sütun1]]=1,LEFT(LeaversJoiners[[#This Row],[Code]],FIND("^",LeaversJoiners[[#This Row],[Code]])-1),LeaversJoiners[[#This Row],[Code]])</f>
        <v>OZBAL.IS</v>
      </c>
    </row>
    <row r="455" spans="1:6" x14ac:dyDescent="0.25">
      <c r="A455" t="s">
        <v>29</v>
      </c>
      <c r="B455" t="s">
        <v>689</v>
      </c>
      <c r="C455" t="s">
        <v>690</v>
      </c>
      <c r="D455" s="2">
        <v>42555</v>
      </c>
      <c r="E455">
        <f>IF(RIGHT(LeaversJoiners[[#This Row],[Code]],1)=")",1,0)</f>
        <v>1</v>
      </c>
      <c r="F455" t="str">
        <f>IF(LeaversJoiners[[#This Row],[Sütun1]]=1,LEFT(LeaversJoiners[[#This Row],[Code]],FIND("^",LeaversJoiners[[#This Row],[Code]])-1),LeaversJoiners[[#This Row],[Code]])</f>
        <v>PIMAS.IS</v>
      </c>
    </row>
    <row r="456" spans="1:6" x14ac:dyDescent="0.25">
      <c r="A456" t="s">
        <v>29</v>
      </c>
      <c r="B456" t="s">
        <v>725</v>
      </c>
      <c r="C456" t="s">
        <v>726</v>
      </c>
      <c r="D456" s="2">
        <v>42555</v>
      </c>
      <c r="E456">
        <f>IF(RIGHT(LeaversJoiners[[#This Row],[Code]],1)=")",1,0)</f>
        <v>0</v>
      </c>
      <c r="F456" t="str">
        <f>IF(LeaversJoiners[[#This Row],[Sütun1]]=1,LEFT(LeaversJoiners[[#This Row],[Code]],FIND("^",LeaversJoiners[[#This Row],[Code]])-1),LeaversJoiners[[#This Row],[Code]])</f>
        <v xml:space="preserve">PSDTC.IS </v>
      </c>
    </row>
    <row r="457" spans="1:6" x14ac:dyDescent="0.25">
      <c r="A457" t="s">
        <v>4</v>
      </c>
      <c r="B457" t="s">
        <v>747</v>
      </c>
      <c r="C457" t="s">
        <v>748</v>
      </c>
      <c r="D457" s="2">
        <v>42555</v>
      </c>
      <c r="E457">
        <f>IF(RIGHT(LeaversJoiners[[#This Row],[Code]],1)=")",1,0)</f>
        <v>0</v>
      </c>
      <c r="F457" t="str">
        <f>IF(LeaversJoiners[[#This Row],[Sütun1]]=1,LEFT(LeaversJoiners[[#This Row],[Code]],FIND("^",LeaversJoiners[[#This Row],[Code]])-1),LeaversJoiners[[#This Row],[Code]])</f>
        <v xml:space="preserve">POLTK.IS </v>
      </c>
    </row>
    <row r="458" spans="1:6" x14ac:dyDescent="0.25">
      <c r="A458" t="s">
        <v>29</v>
      </c>
      <c r="B458" t="s">
        <v>655</v>
      </c>
      <c r="C458" t="s">
        <v>656</v>
      </c>
      <c r="D458" s="2">
        <v>42555</v>
      </c>
      <c r="E458">
        <f>IF(RIGHT(LeaversJoiners[[#This Row],[Code]],1)=")",1,0)</f>
        <v>0</v>
      </c>
      <c r="F458" t="str">
        <f>IF(LeaversJoiners[[#This Row],[Sütun1]]=1,LEFT(LeaversJoiners[[#This Row],[Code]],FIND("^",LeaversJoiners[[#This Row],[Code]])-1),LeaversJoiners[[#This Row],[Code]])</f>
        <v xml:space="preserve">YAYLA.IS </v>
      </c>
    </row>
    <row r="459" spans="1:6" x14ac:dyDescent="0.25">
      <c r="A459" t="s">
        <v>4</v>
      </c>
      <c r="B459" t="s">
        <v>739</v>
      </c>
      <c r="C459" t="s">
        <v>740</v>
      </c>
      <c r="D459" s="2">
        <v>42502</v>
      </c>
      <c r="E459">
        <f>IF(RIGHT(LeaversJoiners[[#This Row],[Code]],1)=")",1,0)</f>
        <v>1</v>
      </c>
      <c r="F459" t="str">
        <f>IF(LeaversJoiners[[#This Row],[Sütun1]]=1,LEFT(LeaversJoiners[[#This Row],[Code]],FIND("^",LeaversJoiners[[#This Row],[Code]])-1),LeaversJoiners[[#This Row],[Code]])</f>
        <v>VIAGO.IS</v>
      </c>
    </row>
    <row r="460" spans="1:6" x14ac:dyDescent="0.25">
      <c r="A460" t="s">
        <v>29</v>
      </c>
      <c r="B460" t="s">
        <v>749</v>
      </c>
      <c r="C460" t="s">
        <v>750</v>
      </c>
      <c r="D460" s="2">
        <v>42493</v>
      </c>
      <c r="E460">
        <f>IF(RIGHT(LeaversJoiners[[#This Row],[Code]],1)=")",1,0)</f>
        <v>1</v>
      </c>
      <c r="F460" t="str">
        <f>IF(LeaversJoiners[[#This Row],[Sütun1]]=1,LEFT(LeaversJoiners[[#This Row],[Code]],FIND("^",LeaversJoiners[[#This Row],[Code]])-1),LeaversJoiners[[#This Row],[Code]])</f>
        <v>AKFEN.IS</v>
      </c>
    </row>
    <row r="461" spans="1:6" x14ac:dyDescent="0.25">
      <c r="A461" t="s">
        <v>29</v>
      </c>
      <c r="B461" t="s">
        <v>376</v>
      </c>
      <c r="C461" t="s">
        <v>377</v>
      </c>
      <c r="D461" s="2">
        <v>42458</v>
      </c>
      <c r="E461">
        <f>IF(RIGHT(LeaversJoiners[[#This Row],[Code]],1)=")",1,0)</f>
        <v>0</v>
      </c>
      <c r="F461" t="str">
        <f>IF(LeaversJoiners[[#This Row],[Sütun1]]=1,LEFT(LeaversJoiners[[#This Row],[Code]],FIND("^",LeaversJoiners[[#This Row],[Code]])-1),LeaversJoiners[[#This Row],[Code]])</f>
        <v xml:space="preserve">ETILR.IS </v>
      </c>
    </row>
    <row r="462" spans="1:6" x14ac:dyDescent="0.25">
      <c r="A462" t="s">
        <v>29</v>
      </c>
      <c r="B462" t="s">
        <v>751</v>
      </c>
      <c r="C462" t="s">
        <v>752</v>
      </c>
      <c r="D462" s="2">
        <v>42440</v>
      </c>
      <c r="E462">
        <f>IF(RIGHT(LeaversJoiners[[#This Row],[Code]],1)=")",1,0)</f>
        <v>1</v>
      </c>
      <c r="F462" t="str">
        <f>IF(LeaversJoiners[[#This Row],[Sütun1]]=1,LEFT(LeaversJoiners[[#This Row],[Code]],FIND("^",LeaversJoiners[[#This Row],[Code]])-1),LeaversJoiners[[#This Row],[Code]])</f>
        <v>ARBUL.IS</v>
      </c>
    </row>
    <row r="463" spans="1:6" x14ac:dyDescent="0.25">
      <c r="A463" t="s">
        <v>29</v>
      </c>
      <c r="B463" t="s">
        <v>753</v>
      </c>
      <c r="C463" t="s">
        <v>754</v>
      </c>
      <c r="D463" s="2">
        <v>42431</v>
      </c>
      <c r="E463">
        <f>IF(RIGHT(LeaversJoiners[[#This Row],[Code]],1)=")",1,0)</f>
        <v>1</v>
      </c>
      <c r="F463" t="str">
        <f>IF(LeaversJoiners[[#This Row],[Sütun1]]=1,LEFT(LeaversJoiners[[#This Row],[Code]],FIND("^",LeaversJoiners[[#This Row],[Code]])-1),LeaversJoiners[[#This Row],[Code]])</f>
        <v>BOYNR.IS</v>
      </c>
    </row>
    <row r="464" spans="1:6" x14ac:dyDescent="0.25">
      <c r="A464" t="s">
        <v>4</v>
      </c>
      <c r="B464" t="s">
        <v>755</v>
      </c>
      <c r="C464" t="s">
        <v>756</v>
      </c>
      <c r="D464" s="2">
        <v>42419</v>
      </c>
      <c r="E464">
        <f>IF(RIGHT(LeaversJoiners[[#This Row],[Code]],1)=")",1,0)</f>
        <v>0</v>
      </c>
      <c r="F464" t="str">
        <f>IF(LeaversJoiners[[#This Row],[Sütun1]]=1,LEFT(LeaversJoiners[[#This Row],[Code]],FIND("^",LeaversJoiners[[#This Row],[Code]])-1),LeaversJoiners[[#This Row],[Code]])</f>
        <v xml:space="preserve">CUSAN.IS </v>
      </c>
    </row>
    <row r="465" spans="1:6" x14ac:dyDescent="0.25">
      <c r="A465" t="s">
        <v>29</v>
      </c>
      <c r="B465" t="s">
        <v>757</v>
      </c>
      <c r="C465" t="s">
        <v>758</v>
      </c>
      <c r="D465" s="2">
        <v>42374</v>
      </c>
      <c r="E465">
        <f>IF(RIGHT(LeaversJoiners[[#This Row],[Code]],1)=")",1,0)</f>
        <v>1</v>
      </c>
      <c r="F465" t="str">
        <f>IF(LeaversJoiners[[#This Row],[Sütun1]]=1,LEFT(LeaversJoiners[[#This Row],[Code]],FIND("^",LeaversJoiners[[#This Row],[Code]])-1),LeaversJoiners[[#This Row],[Code]])</f>
        <v>AKSEL.IS</v>
      </c>
    </row>
    <row r="466" spans="1:6" x14ac:dyDescent="0.25">
      <c r="A466" t="s">
        <v>4</v>
      </c>
      <c r="B466" t="s">
        <v>639</v>
      </c>
      <c r="C466" t="s">
        <v>640</v>
      </c>
      <c r="D466" s="2">
        <v>42374</v>
      </c>
      <c r="E466">
        <f>IF(RIGHT(LeaversJoiners[[#This Row],[Code]],1)=")",1,0)</f>
        <v>0</v>
      </c>
      <c r="F466" t="str">
        <f>IF(LeaversJoiners[[#This Row],[Sütun1]]=1,LEFT(LeaversJoiners[[#This Row],[Code]],FIND("^",LeaversJoiners[[#This Row],[Code]])-1),LeaversJoiners[[#This Row],[Code]])</f>
        <v xml:space="preserve">AVHOL.IS </v>
      </c>
    </row>
    <row r="467" spans="1:6" x14ac:dyDescent="0.25">
      <c r="A467" t="s">
        <v>29</v>
      </c>
      <c r="B467" t="s">
        <v>697</v>
      </c>
      <c r="C467" t="s">
        <v>698</v>
      </c>
      <c r="D467" s="2">
        <v>42374</v>
      </c>
      <c r="E467">
        <f>IF(RIGHT(LeaversJoiners[[#This Row],[Code]],1)=")",1,0)</f>
        <v>0</v>
      </c>
      <c r="F467" t="str">
        <f>IF(LeaversJoiners[[#This Row],[Sütun1]]=1,LEFT(LeaversJoiners[[#This Row],[Code]],FIND("^",LeaversJoiners[[#This Row],[Code]])-1),LeaversJoiners[[#This Row],[Code]])</f>
        <v xml:space="preserve">CELHA.IS </v>
      </c>
    </row>
    <row r="468" spans="1:6" x14ac:dyDescent="0.25">
      <c r="A468" t="s">
        <v>29</v>
      </c>
      <c r="B468" t="s">
        <v>759</v>
      </c>
      <c r="C468" t="s">
        <v>760</v>
      </c>
      <c r="D468" s="2">
        <v>42374</v>
      </c>
      <c r="E468">
        <f>IF(RIGHT(LeaversJoiners[[#This Row],[Code]],1)=")",1,0)</f>
        <v>1</v>
      </c>
      <c r="F468" t="str">
        <f>IF(LeaversJoiners[[#This Row],[Sütun1]]=1,LEFT(LeaversJoiners[[#This Row],[Code]],FIND("^",LeaversJoiners[[#This Row],[Code]])-1),LeaversJoiners[[#This Row],[Code]])</f>
        <v>EGCYH.IS</v>
      </c>
    </row>
    <row r="469" spans="1:6" x14ac:dyDescent="0.25">
      <c r="A469" t="s">
        <v>29</v>
      </c>
      <c r="B469" t="s">
        <v>743</v>
      </c>
      <c r="C469" t="s">
        <v>744</v>
      </c>
      <c r="D469" s="2">
        <v>42374</v>
      </c>
      <c r="E469">
        <f>IF(RIGHT(LeaversJoiners[[#This Row],[Code]],1)=")",1,0)</f>
        <v>0</v>
      </c>
      <c r="F469" t="str">
        <f>IF(LeaversJoiners[[#This Row],[Sütun1]]=1,LEFT(LeaversJoiners[[#This Row],[Code]],FIND("^",LeaversJoiners[[#This Row],[Code]])-1),LeaversJoiners[[#This Row],[Code]])</f>
        <v xml:space="preserve">ERSU.IS </v>
      </c>
    </row>
    <row r="470" spans="1:6" x14ac:dyDescent="0.25">
      <c r="A470" t="s">
        <v>29</v>
      </c>
      <c r="B470" t="s">
        <v>761</v>
      </c>
      <c r="C470" t="s">
        <v>762</v>
      </c>
      <c r="D470" s="2">
        <v>42374</v>
      </c>
      <c r="E470">
        <f>IF(RIGHT(LeaversJoiners[[#This Row],[Code]],1)=")",1,0)</f>
        <v>1</v>
      </c>
      <c r="F470" t="str">
        <f>IF(LeaversJoiners[[#This Row],[Sütun1]]=1,LEFT(LeaversJoiners[[#This Row],[Code]],FIND("^",LeaversJoiners[[#This Row],[Code]])-1),LeaversJoiners[[#This Row],[Code]])</f>
        <v>EGCEY.IS</v>
      </c>
    </row>
    <row r="471" spans="1:6" x14ac:dyDescent="0.25">
      <c r="A471" t="s">
        <v>4</v>
      </c>
      <c r="B471" t="s">
        <v>376</v>
      </c>
      <c r="C471" t="s">
        <v>377</v>
      </c>
      <c r="D471" s="2">
        <v>42374</v>
      </c>
      <c r="E471">
        <f>IF(RIGHT(LeaversJoiners[[#This Row],[Code]],1)=")",1,0)</f>
        <v>0</v>
      </c>
      <c r="F471" t="str">
        <f>IF(LeaversJoiners[[#This Row],[Sütun1]]=1,LEFT(LeaversJoiners[[#This Row],[Code]],FIND("^",LeaversJoiners[[#This Row],[Code]])-1),LeaversJoiners[[#This Row],[Code]])</f>
        <v xml:space="preserve">ETILR.IS </v>
      </c>
    </row>
    <row r="472" spans="1:6" x14ac:dyDescent="0.25">
      <c r="A472" t="s">
        <v>4</v>
      </c>
      <c r="B472" t="s">
        <v>701</v>
      </c>
      <c r="C472" t="s">
        <v>702</v>
      </c>
      <c r="D472" s="2">
        <v>42374</v>
      </c>
      <c r="E472">
        <f>IF(RIGHT(LeaversJoiners[[#This Row],[Code]],1)=")",1,0)</f>
        <v>0</v>
      </c>
      <c r="F472" t="str">
        <f>IF(LeaversJoiners[[#This Row],[Sütun1]]=1,LEFT(LeaversJoiners[[#This Row],[Code]],FIND("^",LeaversJoiners[[#This Row],[Code]])-1),LeaversJoiners[[#This Row],[Code]])</f>
        <v xml:space="preserve">GLRYH.IS </v>
      </c>
    </row>
    <row r="473" spans="1:6" x14ac:dyDescent="0.25">
      <c r="A473" t="s">
        <v>4</v>
      </c>
      <c r="B473" t="s">
        <v>705</v>
      </c>
      <c r="C473" t="s">
        <v>706</v>
      </c>
      <c r="D473" s="2">
        <v>42374</v>
      </c>
      <c r="E473">
        <f>IF(RIGHT(LeaversJoiners[[#This Row],[Code]],1)=")",1,0)</f>
        <v>0</v>
      </c>
      <c r="F473" t="str">
        <f>IF(LeaversJoiners[[#This Row],[Sütun1]]=1,LEFT(LeaversJoiners[[#This Row],[Code]],FIND("^",LeaversJoiners[[#This Row],[Code]])-1),LeaversJoiners[[#This Row],[Code]])</f>
        <v xml:space="preserve">BLUME.IS </v>
      </c>
    </row>
    <row r="474" spans="1:6" x14ac:dyDescent="0.25">
      <c r="A474" t="s">
        <v>4</v>
      </c>
      <c r="B474" t="s">
        <v>122</v>
      </c>
      <c r="C474" t="s">
        <v>123</v>
      </c>
      <c r="D474" s="2">
        <v>42374</v>
      </c>
      <c r="E474">
        <f>IF(RIGHT(LeaversJoiners[[#This Row],[Code]],1)=")",1,0)</f>
        <v>0</v>
      </c>
      <c r="F474" t="str">
        <f>IF(LeaversJoiners[[#This Row],[Sütun1]]=1,LEFT(LeaversJoiners[[#This Row],[Code]],FIND("^",LeaversJoiners[[#This Row],[Code]])-1),LeaversJoiners[[#This Row],[Code]])</f>
        <v xml:space="preserve">OTTO.IS </v>
      </c>
    </row>
    <row r="475" spans="1:6" x14ac:dyDescent="0.25">
      <c r="A475" t="s">
        <v>29</v>
      </c>
      <c r="B475" t="s">
        <v>607</v>
      </c>
      <c r="C475" t="s">
        <v>608</v>
      </c>
      <c r="D475" s="2">
        <v>42374</v>
      </c>
      <c r="E475">
        <f>IF(RIGHT(LeaversJoiners[[#This Row],[Code]],1)=")",1,0)</f>
        <v>0</v>
      </c>
      <c r="F475" t="str">
        <f>IF(LeaversJoiners[[#This Row],[Sütun1]]=1,LEFT(LeaversJoiners[[#This Row],[Code]],FIND("^",LeaversJoiners[[#This Row],[Code]])-1),LeaversJoiners[[#This Row],[Code]])</f>
        <v xml:space="preserve">SANFM.IS </v>
      </c>
    </row>
    <row r="476" spans="1:6" x14ac:dyDescent="0.25">
      <c r="A476" t="s">
        <v>29</v>
      </c>
      <c r="B476" t="s">
        <v>687</v>
      </c>
      <c r="C476" t="s">
        <v>688</v>
      </c>
      <c r="D476" s="2">
        <v>42374</v>
      </c>
      <c r="E476">
        <f>IF(RIGHT(LeaversJoiners[[#This Row],[Code]],1)=")",1,0)</f>
        <v>0</v>
      </c>
      <c r="F476" t="str">
        <f>IF(LeaversJoiners[[#This Row],[Sütun1]]=1,LEFT(LeaversJoiners[[#This Row],[Code]],FIND("^",LeaversJoiners[[#This Row],[Code]])-1),LeaversJoiners[[#This Row],[Code]])</f>
        <v xml:space="preserve">SONME.IS </v>
      </c>
    </row>
    <row r="477" spans="1:6" x14ac:dyDescent="0.25">
      <c r="A477" t="s">
        <v>29</v>
      </c>
      <c r="B477" t="s">
        <v>611</v>
      </c>
      <c r="C477" t="s">
        <v>612</v>
      </c>
      <c r="D477" s="2">
        <v>42374</v>
      </c>
      <c r="E477">
        <f>IF(RIGHT(LeaversJoiners[[#This Row],[Code]],1)=")",1,0)</f>
        <v>0</v>
      </c>
      <c r="F477" t="str">
        <f>IF(LeaversJoiners[[#This Row],[Sütun1]]=1,LEFT(LeaversJoiners[[#This Row],[Code]],FIND("^",LeaversJoiners[[#This Row],[Code]])-1),LeaversJoiners[[#This Row],[Code]])</f>
        <v xml:space="preserve">TRHOL.IS </v>
      </c>
    </row>
    <row r="478" spans="1:6" x14ac:dyDescent="0.25">
      <c r="A478" t="s">
        <v>29</v>
      </c>
      <c r="B478" t="s">
        <v>617</v>
      </c>
      <c r="C478" t="s">
        <v>618</v>
      </c>
      <c r="D478" s="2">
        <v>42374</v>
      </c>
      <c r="E478">
        <f>IF(RIGHT(LeaversJoiners[[#This Row],[Code]],1)=")",1,0)</f>
        <v>0</v>
      </c>
      <c r="F478" t="str">
        <f>IF(LeaversJoiners[[#This Row],[Sütun1]]=1,LEFT(LeaversJoiners[[#This Row],[Code]],FIND("^",LeaversJoiners[[#This Row],[Code]])-1),LeaversJoiners[[#This Row],[Code]])</f>
        <v xml:space="preserve">VKING.IS </v>
      </c>
    </row>
    <row r="479" spans="1:6" x14ac:dyDescent="0.25">
      <c r="A479" t="s">
        <v>29</v>
      </c>
      <c r="B479" t="s">
        <v>763</v>
      </c>
      <c r="C479" t="s">
        <v>764</v>
      </c>
      <c r="D479" s="2">
        <v>42373</v>
      </c>
      <c r="E479">
        <f>IF(RIGHT(LeaversJoiners[[#This Row],[Code]],1)=")",1,0)</f>
        <v>1</v>
      </c>
      <c r="F479" t="str">
        <f>IF(LeaversJoiners[[#This Row],[Sütun1]]=1,LEFT(LeaversJoiners[[#This Row],[Code]],FIND("^",LeaversJoiners[[#This Row],[Code]])-1),LeaversJoiners[[#This Row],[Code]])</f>
        <v>KILER.IS</v>
      </c>
    </row>
    <row r="480" spans="1:6" x14ac:dyDescent="0.25">
      <c r="A480" t="s">
        <v>4</v>
      </c>
      <c r="B480" t="s">
        <v>765</v>
      </c>
      <c r="C480" t="s">
        <v>766</v>
      </c>
      <c r="D480" s="2">
        <v>42325</v>
      </c>
      <c r="E480">
        <f>IF(RIGHT(LeaversJoiners[[#This Row],[Code]],1)=")",1,0)</f>
        <v>0</v>
      </c>
      <c r="F480" t="str">
        <f>IF(LeaversJoiners[[#This Row],[Sütun1]]=1,LEFT(LeaversJoiners[[#This Row],[Code]],FIND("^",LeaversJoiners[[#This Row],[Code]])-1),LeaversJoiners[[#This Row],[Code]])</f>
        <v xml:space="preserve">VERTU.IS </v>
      </c>
    </row>
    <row r="481" spans="1:6" x14ac:dyDescent="0.25">
      <c r="A481" t="s">
        <v>29</v>
      </c>
      <c r="B481" t="s">
        <v>767</v>
      </c>
      <c r="C481" t="s">
        <v>768</v>
      </c>
      <c r="D481" s="2">
        <v>42321</v>
      </c>
      <c r="E481">
        <f>IF(RIGHT(LeaversJoiners[[#This Row],[Code]],1)=")",1,0)</f>
        <v>0</v>
      </c>
      <c r="F481" t="str">
        <f>IF(LeaversJoiners[[#This Row],[Sütun1]]=1,LEFT(LeaversJoiners[[#This Row],[Code]],FIND("^",LeaversJoiners[[#This Row],[Code]])-1),LeaversJoiners[[#This Row],[Code]])</f>
        <v xml:space="preserve">CASA.IS </v>
      </c>
    </row>
    <row r="482" spans="1:6" x14ac:dyDescent="0.25">
      <c r="A482" t="s">
        <v>29</v>
      </c>
      <c r="B482" t="s">
        <v>769</v>
      </c>
      <c r="C482" t="s">
        <v>770</v>
      </c>
      <c r="D482" s="2">
        <v>42298</v>
      </c>
      <c r="E482">
        <f>IF(RIGHT(LeaversJoiners[[#This Row],[Code]],1)=")",1,0)</f>
        <v>1</v>
      </c>
      <c r="F482" t="str">
        <f>IF(LeaversJoiners[[#This Row],[Sütun1]]=1,LEFT(LeaversJoiners[[#This Row],[Code]],FIND("^",LeaversJoiners[[#This Row],[Code]])-1),LeaversJoiners[[#This Row],[Code]])</f>
        <v>AKPAZ.IS</v>
      </c>
    </row>
    <row r="483" spans="1:6" x14ac:dyDescent="0.25">
      <c r="A483" t="s">
        <v>4</v>
      </c>
      <c r="B483" t="s">
        <v>771</v>
      </c>
      <c r="C483" t="s">
        <v>772</v>
      </c>
      <c r="D483" s="2">
        <v>42222</v>
      </c>
      <c r="E483">
        <f>IF(RIGHT(LeaversJoiners[[#This Row],[Code]],1)=")",1,0)</f>
        <v>0</v>
      </c>
      <c r="F483" t="str">
        <f>IF(LeaversJoiners[[#This Row],[Sütun1]]=1,LEFT(LeaversJoiners[[#This Row],[Code]],FIND("^",LeaversJoiners[[#This Row],[Code]])-1),LeaversJoiners[[#This Row],[Code]])</f>
        <v xml:space="preserve">CRFSA.IS </v>
      </c>
    </row>
    <row r="484" spans="1:6" x14ac:dyDescent="0.25">
      <c r="A484" t="s">
        <v>29</v>
      </c>
      <c r="B484" t="s">
        <v>771</v>
      </c>
      <c r="C484" t="s">
        <v>773</v>
      </c>
      <c r="D484" s="2">
        <v>42222</v>
      </c>
      <c r="E484">
        <f>IF(RIGHT(LeaversJoiners[[#This Row],[Code]],1)=")",1,0)</f>
        <v>1</v>
      </c>
      <c r="F484" t="str">
        <f>IF(LeaversJoiners[[#This Row],[Sütun1]]=1,LEFT(LeaversJoiners[[#This Row],[Code]],FIND("^",LeaversJoiners[[#This Row],[Code]])-1),LeaversJoiners[[#This Row],[Code]])</f>
        <v>CARFB.IS</v>
      </c>
    </row>
    <row r="485" spans="1:6" x14ac:dyDescent="0.25">
      <c r="A485" t="s">
        <v>29</v>
      </c>
      <c r="B485" t="s">
        <v>771</v>
      </c>
      <c r="C485" t="s">
        <v>774</v>
      </c>
      <c r="D485" s="2">
        <v>42222</v>
      </c>
      <c r="E485">
        <f>IF(RIGHT(LeaversJoiners[[#This Row],[Code]],1)=")",1,0)</f>
        <v>1</v>
      </c>
      <c r="F485" t="str">
        <f>IF(LeaversJoiners[[#This Row],[Sütun1]]=1,LEFT(LeaversJoiners[[#This Row],[Code]],FIND("^",LeaversJoiners[[#This Row],[Code]])-1),LeaversJoiners[[#This Row],[Code]])</f>
        <v>CARFA.IS</v>
      </c>
    </row>
    <row r="486" spans="1:6" x14ac:dyDescent="0.25">
      <c r="A486" t="s">
        <v>4</v>
      </c>
      <c r="B486" t="s">
        <v>655</v>
      </c>
      <c r="C486" t="s">
        <v>656</v>
      </c>
      <c r="D486" s="2">
        <v>42198</v>
      </c>
      <c r="E486">
        <f>IF(RIGHT(LeaversJoiners[[#This Row],[Code]],1)=")",1,0)</f>
        <v>0</v>
      </c>
      <c r="F486" t="str">
        <f>IF(LeaversJoiners[[#This Row],[Sütun1]]=1,LEFT(LeaversJoiners[[#This Row],[Code]],FIND("^",LeaversJoiners[[#This Row],[Code]])-1),LeaversJoiners[[#This Row],[Code]])</f>
        <v xml:space="preserve">YAYLA.IS </v>
      </c>
    </row>
    <row r="487" spans="1:6" x14ac:dyDescent="0.25">
      <c r="A487" t="s">
        <v>4</v>
      </c>
      <c r="B487" t="s">
        <v>775</v>
      </c>
      <c r="C487" t="s">
        <v>776</v>
      </c>
      <c r="D487" s="2">
        <v>42186</v>
      </c>
      <c r="E487">
        <f>IF(RIGHT(LeaversJoiners[[#This Row],[Code]],1)=")",1,0)</f>
        <v>0</v>
      </c>
      <c r="F487" t="str">
        <f>IF(LeaversJoiners[[#This Row],[Sütun1]]=1,LEFT(LeaversJoiners[[#This Row],[Code]],FIND("^",LeaversJoiners[[#This Row],[Code]])-1),LeaversJoiners[[#This Row],[Code]])</f>
        <v xml:space="preserve">AVTUR.IS </v>
      </c>
    </row>
    <row r="488" spans="1:6" x14ac:dyDescent="0.25">
      <c r="A488" t="s">
        <v>29</v>
      </c>
      <c r="B488" t="s">
        <v>777</v>
      </c>
      <c r="C488" t="s">
        <v>778</v>
      </c>
      <c r="D488" s="2">
        <v>42186</v>
      </c>
      <c r="E488">
        <f>IF(RIGHT(LeaversJoiners[[#This Row],[Code]],1)=")",1,0)</f>
        <v>1</v>
      </c>
      <c r="F488" t="str">
        <f>IF(LeaversJoiners[[#This Row],[Sütun1]]=1,LEFT(LeaversJoiners[[#This Row],[Code]],FIND("^",LeaversJoiners[[#This Row],[Code]])-1),LeaversJoiners[[#This Row],[Code]])</f>
        <v>TUDDF.IS</v>
      </c>
    </row>
    <row r="489" spans="1:6" x14ac:dyDescent="0.25">
      <c r="A489" t="s">
        <v>4</v>
      </c>
      <c r="B489" t="s">
        <v>637</v>
      </c>
      <c r="C489" t="s">
        <v>638</v>
      </c>
      <c r="D489" s="2">
        <v>42186</v>
      </c>
      <c r="E489">
        <f>IF(RIGHT(LeaversJoiners[[#This Row],[Code]],1)=")",1,0)</f>
        <v>1</v>
      </c>
      <c r="F489" t="str">
        <f>IF(LeaversJoiners[[#This Row],[Sütun1]]=1,LEFT(LeaversJoiners[[#This Row],[Code]],FIND("^",LeaversJoiners[[#This Row],[Code]])-1),LeaversJoiners[[#This Row],[Code]])</f>
        <v>DGZTE.IS</v>
      </c>
    </row>
    <row r="490" spans="1:6" x14ac:dyDescent="0.25">
      <c r="A490" t="s">
        <v>29</v>
      </c>
      <c r="B490" t="s">
        <v>641</v>
      </c>
      <c r="C490" t="s">
        <v>642</v>
      </c>
      <c r="D490" s="2">
        <v>42186</v>
      </c>
      <c r="E490">
        <f>IF(RIGHT(LeaversJoiners[[#This Row],[Code]],1)=")",1,0)</f>
        <v>0</v>
      </c>
      <c r="F490" t="str">
        <f>IF(LeaversJoiners[[#This Row],[Sütun1]]=1,LEFT(LeaversJoiners[[#This Row],[Code]],FIND("^",LeaversJoiners[[#This Row],[Code]])-1),LeaversJoiners[[#This Row],[Code]])</f>
        <v xml:space="preserve">DESA.IS </v>
      </c>
    </row>
    <row r="491" spans="1:6" x14ac:dyDescent="0.25">
      <c r="A491" t="s">
        <v>4</v>
      </c>
      <c r="B491" t="s">
        <v>643</v>
      </c>
      <c r="C491" t="s">
        <v>644</v>
      </c>
      <c r="D491" s="2">
        <v>42186</v>
      </c>
      <c r="E491">
        <f>IF(RIGHT(LeaversJoiners[[#This Row],[Code]],1)=")",1,0)</f>
        <v>0</v>
      </c>
      <c r="F491" t="str">
        <f>IF(LeaversJoiners[[#This Row],[Sütun1]]=1,LEFT(LeaversJoiners[[#This Row],[Code]],FIND("^",LeaversJoiners[[#This Row],[Code]])-1),LeaversJoiners[[#This Row],[Code]])</f>
        <v xml:space="preserve">GEDIK.IS </v>
      </c>
    </row>
    <row r="492" spans="1:6" x14ac:dyDescent="0.25">
      <c r="A492" t="s">
        <v>4</v>
      </c>
      <c r="B492" t="s">
        <v>66</v>
      </c>
      <c r="C492" t="s">
        <v>67</v>
      </c>
      <c r="D492" s="2">
        <v>42186</v>
      </c>
      <c r="E492">
        <f>IF(RIGHT(LeaversJoiners[[#This Row],[Code]],1)=")",1,0)</f>
        <v>0</v>
      </c>
      <c r="F492" t="str">
        <f>IF(LeaversJoiners[[#This Row],[Sütun1]]=1,LEFT(LeaversJoiners[[#This Row],[Code]],FIND("^",LeaversJoiners[[#This Row],[Code]])-1),LeaversJoiners[[#This Row],[Code]])</f>
        <v xml:space="preserve">KENT.IS </v>
      </c>
    </row>
    <row r="493" spans="1:6" x14ac:dyDescent="0.25">
      <c r="A493" t="s">
        <v>4</v>
      </c>
      <c r="B493" t="s">
        <v>779</v>
      </c>
      <c r="C493" t="s">
        <v>780</v>
      </c>
      <c r="D493" s="2">
        <v>42186</v>
      </c>
      <c r="E493">
        <f>IF(RIGHT(LeaversJoiners[[#This Row],[Code]],1)=")",1,0)</f>
        <v>0</v>
      </c>
      <c r="F493" t="str">
        <f>IF(LeaversJoiners[[#This Row],[Sütun1]]=1,LEFT(LeaversJoiners[[#This Row],[Code]],FIND("^",LeaversJoiners[[#This Row],[Code]])-1),LeaversJoiners[[#This Row],[Code]])</f>
        <v xml:space="preserve">KRONT.IS </v>
      </c>
    </row>
    <row r="494" spans="1:6" x14ac:dyDescent="0.25">
      <c r="A494" t="s">
        <v>4</v>
      </c>
      <c r="B494" t="s">
        <v>30</v>
      </c>
      <c r="C494" t="s">
        <v>31</v>
      </c>
      <c r="D494" s="2">
        <v>42186</v>
      </c>
      <c r="E494">
        <f>IF(RIGHT(LeaversJoiners[[#This Row],[Code]],1)=")",1,0)</f>
        <v>0</v>
      </c>
      <c r="F494" t="str">
        <f>IF(LeaversJoiners[[#This Row],[Sütun1]]=1,LEFT(LeaversJoiners[[#This Row],[Code]],FIND("^",LeaversJoiners[[#This Row],[Code]])-1),LeaversJoiners[[#This Row],[Code]])</f>
        <v xml:space="preserve">YYAPI.IS </v>
      </c>
    </row>
    <row r="495" spans="1:6" x14ac:dyDescent="0.25">
      <c r="A495" t="s">
        <v>4</v>
      </c>
      <c r="B495" t="s">
        <v>781</v>
      </c>
      <c r="C495" t="s">
        <v>782</v>
      </c>
      <c r="D495" s="2">
        <v>42142</v>
      </c>
      <c r="E495">
        <f>IF(RIGHT(LeaversJoiners[[#This Row],[Code]],1)=")",1,0)</f>
        <v>0</v>
      </c>
      <c r="F495" t="str">
        <f>IF(LeaversJoiners[[#This Row],[Sütun1]]=1,LEFT(LeaversJoiners[[#This Row],[Code]],FIND("^",LeaversJoiners[[#This Row],[Code]])-1),LeaversJoiners[[#This Row],[Code]])</f>
        <v xml:space="preserve">BNTAS.IS </v>
      </c>
    </row>
    <row r="496" spans="1:6" x14ac:dyDescent="0.25">
      <c r="A496" t="s">
        <v>29</v>
      </c>
      <c r="B496" t="s">
        <v>783</v>
      </c>
      <c r="C496" t="s">
        <v>784</v>
      </c>
      <c r="D496" s="2">
        <v>42129</v>
      </c>
      <c r="E496">
        <f>IF(RIGHT(LeaversJoiners[[#This Row],[Code]],1)=")",1,0)</f>
        <v>0</v>
      </c>
      <c r="F496" t="str">
        <f>IF(LeaversJoiners[[#This Row],[Sütun1]]=1,LEFT(LeaversJoiners[[#This Row],[Code]],FIND("^",LeaversJoiners[[#This Row],[Code]])-1),LeaversJoiners[[#This Row],[Code]])</f>
        <v xml:space="preserve">KERVN.IS </v>
      </c>
    </row>
    <row r="497" spans="1:6" x14ac:dyDescent="0.25">
      <c r="A497" t="s">
        <v>29</v>
      </c>
      <c r="B497" t="s">
        <v>785</v>
      </c>
      <c r="C497" t="s">
        <v>786</v>
      </c>
      <c r="D497" s="2">
        <v>42129</v>
      </c>
      <c r="E497">
        <f>IF(RIGHT(LeaversJoiners[[#This Row],[Code]],1)=")",1,0)</f>
        <v>0</v>
      </c>
      <c r="F497" t="str">
        <f>IF(LeaversJoiners[[#This Row],[Sütun1]]=1,LEFT(LeaversJoiners[[#This Row],[Code]],FIND("^",LeaversJoiners[[#This Row],[Code]])-1),LeaversJoiners[[#This Row],[Code]])</f>
        <v xml:space="preserve">MMCAS.IS </v>
      </c>
    </row>
    <row r="498" spans="1:6" x14ac:dyDescent="0.25">
      <c r="A498" t="s">
        <v>29</v>
      </c>
      <c r="B498" t="s">
        <v>787</v>
      </c>
      <c r="C498" t="s">
        <v>788</v>
      </c>
      <c r="D498" s="2">
        <v>42124</v>
      </c>
      <c r="E498">
        <f>IF(RIGHT(LeaversJoiners[[#This Row],[Code]],1)=")",1,0)</f>
        <v>1</v>
      </c>
      <c r="F498" t="str">
        <f>IF(LeaversJoiners[[#This Row],[Sütun1]]=1,LEFT(LeaversJoiners[[#This Row],[Code]],FIND("^",LeaversJoiners[[#This Row],[Code]])-1),LeaversJoiners[[#This Row],[Code]])</f>
        <v>PTOFS.IS</v>
      </c>
    </row>
    <row r="499" spans="1:6" x14ac:dyDescent="0.25">
      <c r="A499" t="s">
        <v>29</v>
      </c>
      <c r="B499" t="s">
        <v>789</v>
      </c>
      <c r="C499" t="s">
        <v>790</v>
      </c>
      <c r="D499" s="2">
        <v>42114</v>
      </c>
      <c r="E499">
        <f>IF(RIGHT(LeaversJoiners[[#This Row],[Code]],1)=")",1,0)</f>
        <v>1</v>
      </c>
      <c r="F499" t="str">
        <f>IF(LeaversJoiners[[#This Row],[Sütun1]]=1,LEFT(LeaversJoiners[[#This Row],[Code]],FIND("^",LeaversJoiners[[#This Row],[Code]])-1),LeaversJoiners[[#This Row],[Code]])</f>
        <v>ECYAP.IS</v>
      </c>
    </row>
    <row r="500" spans="1:6" x14ac:dyDescent="0.25">
      <c r="A500" t="s">
        <v>29</v>
      </c>
      <c r="B500" t="s">
        <v>791</v>
      </c>
      <c r="C500" t="s">
        <v>792</v>
      </c>
      <c r="D500" s="2">
        <v>42114</v>
      </c>
      <c r="E500">
        <f>IF(RIGHT(LeaversJoiners[[#This Row],[Code]],1)=")",1,0)</f>
        <v>1</v>
      </c>
      <c r="F500" t="str">
        <f>IF(LeaversJoiners[[#This Row],[Sütun1]]=1,LEFT(LeaversJoiners[[#This Row],[Code]],FIND("^",LeaversJoiners[[#This Row],[Code]])-1),LeaversJoiners[[#This Row],[Code]])</f>
        <v>TEBNK.IS</v>
      </c>
    </row>
    <row r="501" spans="1:6" x14ac:dyDescent="0.25">
      <c r="A501" t="s">
        <v>29</v>
      </c>
      <c r="B501" t="s">
        <v>793</v>
      </c>
      <c r="C501" t="s">
        <v>794</v>
      </c>
      <c r="D501" s="2">
        <v>42111</v>
      </c>
      <c r="E501">
        <f>IF(RIGHT(LeaversJoiners[[#This Row],[Code]],1)=")",1,0)</f>
        <v>1</v>
      </c>
      <c r="F501" t="str">
        <f>IF(LeaversJoiners[[#This Row],[Sütun1]]=1,LEFT(LeaversJoiners[[#This Row],[Code]],FIND("^",LeaversJoiners[[#This Row],[Code]])-1),LeaversJoiners[[#This Row],[Code]])</f>
        <v>TARAF.IS</v>
      </c>
    </row>
    <row r="502" spans="1:6" x14ac:dyDescent="0.25">
      <c r="A502" t="s">
        <v>29</v>
      </c>
      <c r="B502" t="s">
        <v>795</v>
      </c>
      <c r="C502" t="s">
        <v>796</v>
      </c>
      <c r="D502" s="2">
        <v>42081</v>
      </c>
      <c r="E502">
        <f>IF(RIGHT(LeaversJoiners[[#This Row],[Code]],1)=")",1,0)</f>
        <v>1</v>
      </c>
      <c r="F502" t="str">
        <f>IF(LeaversJoiners[[#This Row],[Sütun1]]=1,LEFT(LeaversJoiners[[#This Row],[Code]],FIND("^",LeaversJoiners[[#This Row],[Code]])-1),LeaversJoiners[[#This Row],[Code]])</f>
        <v>MUTLU.IS</v>
      </c>
    </row>
    <row r="503" spans="1:6" x14ac:dyDescent="0.25">
      <c r="A503" t="s">
        <v>4</v>
      </c>
      <c r="B503" t="s">
        <v>548</v>
      </c>
      <c r="C503" t="s">
        <v>549</v>
      </c>
      <c r="D503" s="2">
        <v>42067</v>
      </c>
      <c r="E503">
        <f>IF(RIGHT(LeaversJoiners[[#This Row],[Code]],1)=")",1,0)</f>
        <v>0</v>
      </c>
      <c r="F503" t="str">
        <f>IF(LeaversJoiners[[#This Row],[Sütun1]]=1,LEFT(LeaversJoiners[[#This Row],[Code]],FIND("^",LeaversJoiners[[#This Row],[Code]])-1),LeaversJoiners[[#This Row],[Code]])</f>
        <v xml:space="preserve">GATEG.IS </v>
      </c>
    </row>
    <row r="504" spans="1:6" x14ac:dyDescent="0.25">
      <c r="A504" t="s">
        <v>4</v>
      </c>
      <c r="B504" t="s">
        <v>797</v>
      </c>
      <c r="C504" t="s">
        <v>798</v>
      </c>
      <c r="D504" s="2">
        <v>42065</v>
      </c>
      <c r="E504">
        <f>IF(RIGHT(LeaversJoiners[[#This Row],[Code]],1)=")",1,0)</f>
        <v>0</v>
      </c>
      <c r="F504" t="str">
        <f>IF(LeaversJoiners[[#This Row],[Sütun1]]=1,LEFT(LeaversJoiners[[#This Row],[Code]],FIND("^",LeaversJoiners[[#This Row],[Code]])-1),LeaversJoiners[[#This Row],[Code]])</f>
        <v xml:space="preserve">TMPOL.IS </v>
      </c>
    </row>
    <row r="505" spans="1:6" x14ac:dyDescent="0.25">
      <c r="A505" t="s">
        <v>4</v>
      </c>
      <c r="B505" t="s">
        <v>799</v>
      </c>
      <c r="C505" t="s">
        <v>800</v>
      </c>
      <c r="D505" s="2">
        <v>42037</v>
      </c>
      <c r="E505">
        <f>IF(RIGHT(LeaversJoiners[[#This Row],[Code]],1)=")",1,0)</f>
        <v>0</v>
      </c>
      <c r="F505" t="str">
        <f>IF(LeaversJoiners[[#This Row],[Sütun1]]=1,LEFT(LeaversJoiners[[#This Row],[Code]],FIND("^",LeaversJoiners[[#This Row],[Code]])-1),LeaversJoiners[[#This Row],[Code]])</f>
        <v xml:space="preserve">HDFGS.IS </v>
      </c>
    </row>
    <row r="506" spans="1:6" x14ac:dyDescent="0.25">
      <c r="A506" t="s">
        <v>29</v>
      </c>
      <c r="B506" t="s">
        <v>801</v>
      </c>
      <c r="C506" t="s">
        <v>802</v>
      </c>
      <c r="D506" s="2">
        <v>42006</v>
      </c>
      <c r="E506">
        <f>IF(RIGHT(LeaversJoiners[[#This Row],[Code]],1)=")",1,0)</f>
        <v>1</v>
      </c>
      <c r="F506" t="str">
        <f>IF(LeaversJoiners[[#This Row],[Sütun1]]=1,LEFT(LeaversJoiners[[#This Row],[Code]],FIND("^",LeaversJoiners[[#This Row],[Code]])-1),LeaversJoiners[[#This Row],[Code]])</f>
        <v>ALNTF.IS</v>
      </c>
    </row>
    <row r="507" spans="1:6" x14ac:dyDescent="0.25">
      <c r="A507" t="s">
        <v>29</v>
      </c>
      <c r="B507" t="s">
        <v>574</v>
      </c>
      <c r="C507" t="s">
        <v>575</v>
      </c>
      <c r="D507" s="2">
        <v>42006</v>
      </c>
      <c r="E507">
        <f>IF(RIGHT(LeaversJoiners[[#This Row],[Code]],1)=")",1,0)</f>
        <v>0</v>
      </c>
      <c r="F507" t="str">
        <f>IF(LeaversJoiners[[#This Row],[Sütun1]]=1,LEFT(LeaversJoiners[[#This Row],[Code]],FIND("^",LeaversJoiners[[#This Row],[Code]])-1),LeaversJoiners[[#This Row],[Code]])</f>
        <v xml:space="preserve">AYCES.IS </v>
      </c>
    </row>
    <row r="508" spans="1:6" x14ac:dyDescent="0.25">
      <c r="A508" t="s">
        <v>29</v>
      </c>
      <c r="B508" t="s">
        <v>803</v>
      </c>
      <c r="C508" t="s">
        <v>804</v>
      </c>
      <c r="D508" s="2">
        <v>42006</v>
      </c>
      <c r="E508">
        <f>IF(RIGHT(LeaversJoiners[[#This Row],[Code]],1)=")",1,0)</f>
        <v>0</v>
      </c>
      <c r="F508" t="str">
        <f>IF(LeaversJoiners[[#This Row],[Sütun1]]=1,LEFT(LeaversJoiners[[#This Row],[Code]],FIND("^",LeaversJoiners[[#This Row],[Code]])-1),LeaversJoiners[[#This Row],[Code]])</f>
        <v xml:space="preserve">ATSYH.IS </v>
      </c>
    </row>
    <row r="509" spans="1:6" x14ac:dyDescent="0.25">
      <c r="A509" t="s">
        <v>29</v>
      </c>
      <c r="B509" t="s">
        <v>775</v>
      </c>
      <c r="C509" t="s">
        <v>776</v>
      </c>
      <c r="D509" s="2">
        <v>42006</v>
      </c>
      <c r="E509">
        <f>IF(RIGHT(LeaversJoiners[[#This Row],[Code]],1)=")",1,0)</f>
        <v>0</v>
      </c>
      <c r="F509" t="str">
        <f>IF(LeaversJoiners[[#This Row],[Sütun1]]=1,LEFT(LeaversJoiners[[#This Row],[Code]],FIND("^",LeaversJoiners[[#This Row],[Code]])-1),LeaversJoiners[[#This Row],[Code]])</f>
        <v xml:space="preserve">AVTUR.IS </v>
      </c>
    </row>
    <row r="510" spans="1:6" x14ac:dyDescent="0.25">
      <c r="A510" t="s">
        <v>29</v>
      </c>
      <c r="B510" t="s">
        <v>576</v>
      </c>
      <c r="C510" t="s">
        <v>577</v>
      </c>
      <c r="D510" s="2">
        <v>42006</v>
      </c>
      <c r="E510">
        <f>IF(RIGHT(LeaversJoiners[[#This Row],[Code]],1)=")",1,0)</f>
        <v>0</v>
      </c>
      <c r="F510" t="str">
        <f>IF(LeaversJoiners[[#This Row],[Sütun1]]=1,LEFT(LeaversJoiners[[#This Row],[Code]],FIND("^",LeaversJoiners[[#This Row],[Code]])-1),LeaversJoiners[[#This Row],[Code]])</f>
        <v xml:space="preserve">BIGTK.IS </v>
      </c>
    </row>
    <row r="511" spans="1:6" x14ac:dyDescent="0.25">
      <c r="A511" t="s">
        <v>29</v>
      </c>
      <c r="B511" t="s">
        <v>524</v>
      </c>
      <c r="C511" t="s">
        <v>525</v>
      </c>
      <c r="D511" s="2">
        <v>42006</v>
      </c>
      <c r="E511">
        <f>IF(RIGHT(LeaversJoiners[[#This Row],[Code]],1)=")",1,0)</f>
        <v>0</v>
      </c>
      <c r="F511" t="str">
        <f>IF(LeaversJoiners[[#This Row],[Sütun1]]=1,LEFT(LeaversJoiners[[#This Row],[Code]],FIND("^",LeaversJoiners[[#This Row],[Code]])-1),LeaversJoiners[[#This Row],[Code]])</f>
        <v xml:space="preserve">BRMEN.IS </v>
      </c>
    </row>
    <row r="512" spans="1:6" x14ac:dyDescent="0.25">
      <c r="A512" t="s">
        <v>29</v>
      </c>
      <c r="B512" t="s">
        <v>578</v>
      </c>
      <c r="C512" t="s">
        <v>579</v>
      </c>
      <c r="D512" s="2">
        <v>42006</v>
      </c>
      <c r="E512">
        <f>IF(RIGHT(LeaversJoiners[[#This Row],[Code]],1)=")",1,0)</f>
        <v>0</v>
      </c>
      <c r="F512" t="str">
        <f>IF(LeaversJoiners[[#This Row],[Sütun1]]=1,LEFT(LeaversJoiners[[#This Row],[Code]],FIND("^",LeaversJoiners[[#This Row],[Code]])-1),LeaversJoiners[[#This Row],[Code]])</f>
        <v xml:space="preserve">BURVA.IS </v>
      </c>
    </row>
    <row r="513" spans="1:6" x14ac:dyDescent="0.25">
      <c r="A513" t="s">
        <v>29</v>
      </c>
      <c r="B513" t="s">
        <v>637</v>
      </c>
      <c r="C513" t="s">
        <v>638</v>
      </c>
      <c r="D513" s="2">
        <v>42006</v>
      </c>
      <c r="E513">
        <f>IF(RIGHT(LeaversJoiners[[#This Row],[Code]],1)=")",1,0)</f>
        <v>1</v>
      </c>
      <c r="F513" t="str">
        <f>IF(LeaversJoiners[[#This Row],[Sütun1]]=1,LEFT(LeaversJoiners[[#This Row],[Code]],FIND("^",LeaversJoiners[[#This Row],[Code]])-1),LeaversJoiners[[#This Row],[Code]])</f>
        <v>DGZTE.IS</v>
      </c>
    </row>
    <row r="514" spans="1:6" x14ac:dyDescent="0.25">
      <c r="A514" t="s">
        <v>29</v>
      </c>
      <c r="B514" t="s">
        <v>679</v>
      </c>
      <c r="C514" t="s">
        <v>680</v>
      </c>
      <c r="D514" s="2">
        <v>42006</v>
      </c>
      <c r="E514">
        <f>IF(RIGHT(LeaversJoiners[[#This Row],[Code]],1)=")",1,0)</f>
        <v>0</v>
      </c>
      <c r="F514" t="str">
        <f>IF(LeaversJoiners[[#This Row],[Sütun1]]=1,LEFT(LeaversJoiners[[#This Row],[Code]],FIND("^",LeaversJoiners[[#This Row],[Code]])-1),LeaversJoiners[[#This Row],[Code]])</f>
        <v xml:space="preserve">DZGYO.IS </v>
      </c>
    </row>
    <row r="515" spans="1:6" x14ac:dyDescent="0.25">
      <c r="A515" t="s">
        <v>29</v>
      </c>
      <c r="B515" t="s">
        <v>570</v>
      </c>
      <c r="C515" t="s">
        <v>571</v>
      </c>
      <c r="D515" s="2">
        <v>42006</v>
      </c>
      <c r="E515">
        <f>IF(RIGHT(LeaversJoiners[[#This Row],[Code]],1)=")",1,0)</f>
        <v>1</v>
      </c>
      <c r="F515" t="str">
        <f>IF(LeaversJoiners[[#This Row],[Sütun1]]=1,LEFT(LeaversJoiners[[#This Row],[Code]],FIND("^",LeaversJoiners[[#This Row],[Code]])-1),LeaversJoiners[[#This Row],[Code]])</f>
        <v>DENIZ.IS</v>
      </c>
    </row>
    <row r="516" spans="1:6" x14ac:dyDescent="0.25">
      <c r="A516" t="s">
        <v>29</v>
      </c>
      <c r="B516" t="s">
        <v>564</v>
      </c>
      <c r="C516" t="s">
        <v>565</v>
      </c>
      <c r="D516" s="2">
        <v>42006</v>
      </c>
      <c r="E516">
        <f>IF(RIGHT(LeaversJoiners[[#This Row],[Code]],1)=")",1,0)</f>
        <v>0</v>
      </c>
      <c r="F516" t="str">
        <f>IF(LeaversJoiners[[#This Row],[Sütun1]]=1,LEFT(LeaversJoiners[[#This Row],[Code]],FIND("^",LeaversJoiners[[#This Row],[Code]])-1),LeaversJoiners[[#This Row],[Code]])</f>
        <v xml:space="preserve">DIRIT.IS </v>
      </c>
    </row>
    <row r="517" spans="1:6" x14ac:dyDescent="0.25">
      <c r="A517" t="s">
        <v>29</v>
      </c>
      <c r="B517" t="s">
        <v>681</v>
      </c>
      <c r="C517" t="s">
        <v>682</v>
      </c>
      <c r="D517" s="2">
        <v>42006</v>
      </c>
      <c r="E517">
        <f>IF(RIGHT(LeaversJoiners[[#This Row],[Code]],1)=")",1,0)</f>
        <v>0</v>
      </c>
      <c r="F517" t="str">
        <f>IF(LeaversJoiners[[#This Row],[Sütun1]]=1,LEFT(LeaversJoiners[[#This Row],[Code]],FIND("^",LeaversJoiners[[#This Row],[Code]])-1),LeaversJoiners[[#This Row],[Code]])</f>
        <v xml:space="preserve">DOGUB.IS </v>
      </c>
    </row>
    <row r="518" spans="1:6" x14ac:dyDescent="0.25">
      <c r="A518" t="s">
        <v>29</v>
      </c>
      <c r="B518" t="s">
        <v>699</v>
      </c>
      <c r="C518" t="s">
        <v>700</v>
      </c>
      <c r="D518" s="2">
        <v>42006</v>
      </c>
      <c r="E518">
        <f>IF(RIGHT(LeaversJoiners[[#This Row],[Code]],1)=")",1,0)</f>
        <v>0</v>
      </c>
      <c r="F518" t="str">
        <f>IF(LeaversJoiners[[#This Row],[Sütun1]]=1,LEFT(LeaversJoiners[[#This Row],[Code]],FIND("^",LeaversJoiners[[#This Row],[Code]])-1),LeaversJoiners[[#This Row],[Code]])</f>
        <v xml:space="preserve">EGPRO.IS </v>
      </c>
    </row>
    <row r="519" spans="1:6" x14ac:dyDescent="0.25">
      <c r="A519" t="s">
        <v>29</v>
      </c>
      <c r="B519" t="s">
        <v>805</v>
      </c>
      <c r="C519" t="s">
        <v>806</v>
      </c>
      <c r="D519" s="2">
        <v>42006</v>
      </c>
      <c r="E519">
        <f>IF(RIGHT(LeaversJoiners[[#This Row],[Code]],1)=")",1,0)</f>
        <v>0</v>
      </c>
      <c r="F519" t="str">
        <f>IF(LeaversJoiners[[#This Row],[Sütun1]]=1,LEFT(LeaversJoiners[[#This Row],[Code]],FIND("^",LeaversJoiners[[#This Row],[Code]])-1),LeaversJoiners[[#This Row],[Code]])</f>
        <v xml:space="preserve">EMNIS.IS </v>
      </c>
    </row>
    <row r="520" spans="1:6" x14ac:dyDescent="0.25">
      <c r="A520" t="s">
        <v>29</v>
      </c>
      <c r="B520" t="s">
        <v>643</v>
      </c>
      <c r="C520" t="s">
        <v>644</v>
      </c>
      <c r="D520" s="2">
        <v>42006</v>
      </c>
      <c r="E520">
        <f>IF(RIGHT(LeaversJoiners[[#This Row],[Code]],1)=")",1,0)</f>
        <v>0</v>
      </c>
      <c r="F520" t="str">
        <f>IF(LeaversJoiners[[#This Row],[Sütun1]]=1,LEFT(LeaversJoiners[[#This Row],[Code]],FIND("^",LeaversJoiners[[#This Row],[Code]])-1),LeaversJoiners[[#This Row],[Code]])</f>
        <v xml:space="preserve">GEDIK.IS </v>
      </c>
    </row>
    <row r="521" spans="1:6" x14ac:dyDescent="0.25">
      <c r="A521" t="s">
        <v>29</v>
      </c>
      <c r="B521" t="s">
        <v>580</v>
      </c>
      <c r="C521" t="s">
        <v>581</v>
      </c>
      <c r="D521" s="2">
        <v>42006</v>
      </c>
      <c r="E521">
        <f>IF(RIGHT(LeaversJoiners[[#This Row],[Code]],1)=")",1,0)</f>
        <v>0</v>
      </c>
      <c r="F521" t="str">
        <f>IF(LeaversJoiners[[#This Row],[Sütun1]]=1,LEFT(LeaversJoiners[[#This Row],[Code]],FIND("^",LeaversJoiners[[#This Row],[Code]])-1),LeaversJoiners[[#This Row],[Code]])</f>
        <v xml:space="preserve">GLBMD.IS </v>
      </c>
    </row>
    <row r="522" spans="1:6" x14ac:dyDescent="0.25">
      <c r="A522" t="s">
        <v>29</v>
      </c>
      <c r="B522" t="s">
        <v>701</v>
      </c>
      <c r="C522" t="s">
        <v>702</v>
      </c>
      <c r="D522" s="2">
        <v>42006</v>
      </c>
      <c r="E522">
        <f>IF(RIGHT(LeaversJoiners[[#This Row],[Code]],1)=")",1,0)</f>
        <v>0</v>
      </c>
      <c r="F522" t="str">
        <f>IF(LeaversJoiners[[#This Row],[Sütun1]]=1,LEFT(LeaversJoiners[[#This Row],[Code]],FIND("^",LeaversJoiners[[#This Row],[Code]])-1),LeaversJoiners[[#This Row],[Code]])</f>
        <v xml:space="preserve">GLRYH.IS </v>
      </c>
    </row>
    <row r="523" spans="1:6" x14ac:dyDescent="0.25">
      <c r="A523" t="s">
        <v>29</v>
      </c>
      <c r="B523" t="s">
        <v>807</v>
      </c>
      <c r="C523" t="s">
        <v>808</v>
      </c>
      <c r="D523" s="2">
        <v>42006</v>
      </c>
      <c r="E523">
        <f>IF(RIGHT(LeaversJoiners[[#This Row],[Code]],1)=")",1,0)</f>
        <v>1</v>
      </c>
      <c r="F523" t="str">
        <f>IF(LeaversJoiners[[#This Row],[Sütun1]]=1,LEFT(LeaversJoiners[[#This Row],[Code]],FIND("^",LeaversJoiners[[#This Row],[Code]])-1),LeaversJoiners[[#This Row],[Code]])</f>
        <v>HZNDR.IS</v>
      </c>
    </row>
    <row r="524" spans="1:6" x14ac:dyDescent="0.25">
      <c r="A524" t="s">
        <v>29</v>
      </c>
      <c r="B524" t="s">
        <v>582</v>
      </c>
      <c r="C524" t="s">
        <v>583</v>
      </c>
      <c r="D524" s="2">
        <v>42006</v>
      </c>
      <c r="E524">
        <f>IF(RIGHT(LeaversJoiners[[#This Row],[Code]],1)=")",1,0)</f>
        <v>0</v>
      </c>
      <c r="F524" t="str">
        <f>IF(LeaversJoiners[[#This Row],[Sütun1]]=1,LEFT(LeaversJoiners[[#This Row],[Code]],FIND("^",LeaversJoiners[[#This Row],[Code]])-1),LeaversJoiners[[#This Row],[Code]])</f>
        <v xml:space="preserve">HUBVC.IS </v>
      </c>
    </row>
    <row r="525" spans="1:6" x14ac:dyDescent="0.25">
      <c r="A525" t="s">
        <v>29</v>
      </c>
      <c r="B525" t="s">
        <v>584</v>
      </c>
      <c r="C525" t="s">
        <v>585</v>
      </c>
      <c r="D525" s="2">
        <v>42006</v>
      </c>
      <c r="E525">
        <f>IF(RIGHT(LeaversJoiners[[#This Row],[Code]],1)=")",1,0)</f>
        <v>0</v>
      </c>
      <c r="F525" t="str">
        <f>IF(LeaversJoiners[[#This Row],[Sütun1]]=1,LEFT(LeaversJoiners[[#This Row],[Code]],FIND("^",LeaversJoiners[[#This Row],[Code]])-1),LeaversJoiners[[#This Row],[Code]])</f>
        <v xml:space="preserve">IDGYO.IS </v>
      </c>
    </row>
    <row r="526" spans="1:6" x14ac:dyDescent="0.25">
      <c r="A526" t="s">
        <v>29</v>
      </c>
      <c r="B526" t="s">
        <v>627</v>
      </c>
      <c r="C526" t="s">
        <v>628</v>
      </c>
      <c r="D526" s="2">
        <v>42006</v>
      </c>
      <c r="E526">
        <f>IF(RIGHT(LeaversJoiners[[#This Row],[Code]],1)=")",1,0)</f>
        <v>0</v>
      </c>
      <c r="F526" t="str">
        <f>IF(LeaversJoiners[[#This Row],[Sütun1]]=1,LEFT(LeaversJoiners[[#This Row],[Code]],FIND("^",LeaversJoiners[[#This Row],[Code]])-1),LeaversJoiners[[#This Row],[Code]])</f>
        <v xml:space="preserve">INFO.IS </v>
      </c>
    </row>
    <row r="527" spans="1:6" x14ac:dyDescent="0.25">
      <c r="A527" t="s">
        <v>29</v>
      </c>
      <c r="B527" t="s">
        <v>683</v>
      </c>
      <c r="C527" t="s">
        <v>684</v>
      </c>
      <c r="D527" s="2">
        <v>42006</v>
      </c>
      <c r="E527">
        <f>IF(RIGHT(LeaversJoiners[[#This Row],[Code]],1)=")",1,0)</f>
        <v>0</v>
      </c>
      <c r="F527" t="str">
        <f>IF(LeaversJoiners[[#This Row],[Sütun1]]=1,LEFT(LeaversJoiners[[#This Row],[Code]],FIND("^",LeaversJoiners[[#This Row],[Code]])-1),LeaversJoiners[[#This Row],[Code]])</f>
        <v xml:space="preserve">KAPLM.IS </v>
      </c>
    </row>
    <row r="528" spans="1:6" x14ac:dyDescent="0.25">
      <c r="A528" t="s">
        <v>29</v>
      </c>
      <c r="B528" t="s">
        <v>629</v>
      </c>
      <c r="C528" t="s">
        <v>630</v>
      </c>
      <c r="D528" s="2">
        <v>42006</v>
      </c>
      <c r="E528">
        <f>IF(RIGHT(LeaversJoiners[[#This Row],[Code]],1)=")",1,0)</f>
        <v>0</v>
      </c>
      <c r="F528" t="str">
        <f>IF(LeaversJoiners[[#This Row],[Sütun1]]=1,LEFT(LeaversJoiners[[#This Row],[Code]],FIND("^",LeaversJoiners[[#This Row],[Code]])-1),LeaversJoiners[[#This Row],[Code]])</f>
        <v xml:space="preserve">KRTEK.IS </v>
      </c>
    </row>
    <row r="529" spans="1:6" x14ac:dyDescent="0.25">
      <c r="A529" t="s">
        <v>29</v>
      </c>
      <c r="B529" t="s">
        <v>591</v>
      </c>
      <c r="C529" t="s">
        <v>592</v>
      </c>
      <c r="D529" s="2">
        <v>42006</v>
      </c>
      <c r="E529">
        <f>IF(RIGHT(LeaversJoiners[[#This Row],[Code]],1)=")",1,0)</f>
        <v>0</v>
      </c>
      <c r="F529" t="str">
        <f>IF(LeaversJoiners[[#This Row],[Sütun1]]=1,LEFT(LeaversJoiners[[#This Row],[Code]],FIND("^",LeaversJoiners[[#This Row],[Code]])-1),LeaversJoiners[[#This Row],[Code]])</f>
        <v xml:space="preserve">KRGYO.IS </v>
      </c>
    </row>
    <row r="530" spans="1:6" x14ac:dyDescent="0.25">
      <c r="A530" t="s">
        <v>29</v>
      </c>
      <c r="B530" t="s">
        <v>779</v>
      </c>
      <c r="C530" t="s">
        <v>780</v>
      </c>
      <c r="D530" s="2">
        <v>42006</v>
      </c>
      <c r="E530">
        <f>IF(RIGHT(LeaversJoiners[[#This Row],[Code]],1)=")",1,0)</f>
        <v>0</v>
      </c>
      <c r="F530" t="str">
        <f>IF(LeaversJoiners[[#This Row],[Sütun1]]=1,LEFT(LeaversJoiners[[#This Row],[Code]],FIND("^",LeaversJoiners[[#This Row],[Code]])-1),LeaversJoiners[[#This Row],[Code]])</f>
        <v xml:space="preserve">KRONT.IS </v>
      </c>
    </row>
    <row r="531" spans="1:6" x14ac:dyDescent="0.25">
      <c r="A531" t="s">
        <v>29</v>
      </c>
      <c r="B531" t="s">
        <v>593</v>
      </c>
      <c r="C531" t="s">
        <v>594</v>
      </c>
      <c r="D531" s="2">
        <v>42006</v>
      </c>
      <c r="E531">
        <f>IF(RIGHT(LeaversJoiners[[#This Row],[Code]],1)=")",1,0)</f>
        <v>0</v>
      </c>
      <c r="F531" t="str">
        <f>IF(LeaversJoiners[[#This Row],[Sütun1]]=1,LEFT(LeaversJoiners[[#This Row],[Code]],FIND("^",LeaversJoiners[[#This Row],[Code]])-1),LeaversJoiners[[#This Row],[Code]])</f>
        <v xml:space="preserve">LIDFA.IS </v>
      </c>
    </row>
    <row r="532" spans="1:6" x14ac:dyDescent="0.25">
      <c r="A532" t="s">
        <v>29</v>
      </c>
      <c r="B532" t="s">
        <v>745</v>
      </c>
      <c r="C532" t="s">
        <v>746</v>
      </c>
      <c r="D532" s="2">
        <v>42006</v>
      </c>
      <c r="E532">
        <f>IF(RIGHT(LeaversJoiners[[#This Row],[Code]],1)=")",1,0)</f>
        <v>0</v>
      </c>
      <c r="F532" t="str">
        <f>IF(LeaversJoiners[[#This Row],[Sütun1]]=1,LEFT(LeaversJoiners[[#This Row],[Code]],FIND("^",LeaversJoiners[[#This Row],[Code]])-1),LeaversJoiners[[#This Row],[Code]])</f>
        <v xml:space="preserve">LINK.IS </v>
      </c>
    </row>
    <row r="533" spans="1:6" x14ac:dyDescent="0.25">
      <c r="A533" t="s">
        <v>29</v>
      </c>
      <c r="B533" t="s">
        <v>595</v>
      </c>
      <c r="C533" t="s">
        <v>596</v>
      </c>
      <c r="D533" s="2">
        <v>42006</v>
      </c>
      <c r="E533">
        <f>IF(RIGHT(LeaversJoiners[[#This Row],[Code]],1)=")",1,0)</f>
        <v>0</v>
      </c>
      <c r="F533" t="str">
        <f>IF(LeaversJoiners[[#This Row],[Sütun1]]=1,LEFT(LeaversJoiners[[#This Row],[Code]],FIND("^",LeaversJoiners[[#This Row],[Code]])-1),LeaversJoiners[[#This Row],[Code]])</f>
        <v xml:space="preserve">LUKSK.IS </v>
      </c>
    </row>
    <row r="534" spans="1:6" x14ac:dyDescent="0.25">
      <c r="A534" t="s">
        <v>29</v>
      </c>
      <c r="B534" t="s">
        <v>705</v>
      </c>
      <c r="C534" t="s">
        <v>706</v>
      </c>
      <c r="D534" s="2">
        <v>42006</v>
      </c>
      <c r="E534">
        <f>IF(RIGHT(LeaversJoiners[[#This Row],[Code]],1)=")",1,0)</f>
        <v>0</v>
      </c>
      <c r="F534" t="str">
        <f>IF(LeaversJoiners[[#This Row],[Sütun1]]=1,LEFT(LeaversJoiners[[#This Row],[Code]],FIND("^",LeaversJoiners[[#This Row],[Code]])-1),LeaversJoiners[[#This Row],[Code]])</f>
        <v xml:space="preserve">BLUME.IS </v>
      </c>
    </row>
    <row r="535" spans="1:6" x14ac:dyDescent="0.25">
      <c r="A535" t="s">
        <v>29</v>
      </c>
      <c r="B535" t="s">
        <v>721</v>
      </c>
      <c r="C535" t="s">
        <v>722</v>
      </c>
      <c r="D535" s="2">
        <v>42006</v>
      </c>
      <c r="E535">
        <f>IF(RIGHT(LeaversJoiners[[#This Row],[Code]],1)=")",1,0)</f>
        <v>0</v>
      </c>
      <c r="F535" t="str">
        <f>IF(LeaversJoiners[[#This Row],[Sütun1]]=1,LEFT(LeaversJoiners[[#This Row],[Code]],FIND("^",LeaversJoiners[[#This Row],[Code]])-1),LeaversJoiners[[#This Row],[Code]])</f>
        <v xml:space="preserve">NIBAS.IS </v>
      </c>
    </row>
    <row r="536" spans="1:6" x14ac:dyDescent="0.25">
      <c r="A536" t="s">
        <v>29</v>
      </c>
      <c r="B536" t="s">
        <v>723</v>
      </c>
      <c r="C536" t="s">
        <v>724</v>
      </c>
      <c r="D536" s="2">
        <v>42006</v>
      </c>
      <c r="E536">
        <f>IF(RIGHT(LeaversJoiners[[#This Row],[Code]],1)=")",1,0)</f>
        <v>0</v>
      </c>
      <c r="F536" t="str">
        <f>IF(LeaversJoiners[[#This Row],[Sütun1]]=1,LEFT(LeaversJoiners[[#This Row],[Code]],FIND("^",LeaversJoiners[[#This Row],[Code]])-1),LeaversJoiners[[#This Row],[Code]])</f>
        <v xml:space="preserve">OYLUM.IS </v>
      </c>
    </row>
    <row r="537" spans="1:6" x14ac:dyDescent="0.25">
      <c r="A537" t="s">
        <v>29</v>
      </c>
      <c r="B537" t="s">
        <v>400</v>
      </c>
      <c r="C537" t="s">
        <v>401</v>
      </c>
      <c r="D537" s="2">
        <v>42006</v>
      </c>
      <c r="E537">
        <f>IF(RIGHT(LeaversJoiners[[#This Row],[Code]],1)=")",1,0)</f>
        <v>1</v>
      </c>
      <c r="F537" t="str">
        <f>IF(LeaversJoiners[[#This Row],[Sütun1]]=1,LEFT(LeaversJoiners[[#This Row],[Code]],FIND("^",LeaversJoiners[[#This Row],[Code]])-1),LeaversJoiners[[#This Row],[Code]])</f>
        <v>OZBAL.IS</v>
      </c>
    </row>
    <row r="538" spans="1:6" x14ac:dyDescent="0.25">
      <c r="A538" t="s">
        <v>29</v>
      </c>
      <c r="B538" t="s">
        <v>74</v>
      </c>
      <c r="C538" t="s">
        <v>75</v>
      </c>
      <c r="D538" s="2">
        <v>42006</v>
      </c>
      <c r="E538">
        <f>IF(RIGHT(LeaversJoiners[[#This Row],[Code]],1)=")",1,0)</f>
        <v>0</v>
      </c>
      <c r="F538" t="str">
        <f>IF(LeaversJoiners[[#This Row],[Sütun1]]=1,LEFT(LeaversJoiners[[#This Row],[Code]],FIND("^",LeaversJoiners[[#This Row],[Code]])-1),LeaversJoiners[[#This Row],[Code]])</f>
        <v xml:space="preserve">QNBFK.IS </v>
      </c>
    </row>
    <row r="539" spans="1:6" x14ac:dyDescent="0.25">
      <c r="A539" t="s">
        <v>29</v>
      </c>
      <c r="B539" t="s">
        <v>635</v>
      </c>
      <c r="C539" t="s">
        <v>636</v>
      </c>
      <c r="D539" s="2">
        <v>42006</v>
      </c>
      <c r="E539">
        <f>IF(RIGHT(LeaversJoiners[[#This Row],[Code]],1)=")",1,0)</f>
        <v>0</v>
      </c>
      <c r="F539" t="str">
        <f>IF(LeaversJoiners[[#This Row],[Sütun1]]=1,LEFT(LeaversJoiners[[#This Row],[Code]],FIND("^",LeaversJoiners[[#This Row],[Code]])-1),LeaversJoiners[[#This Row],[Code]])</f>
        <v xml:space="preserve">RALYH.IS </v>
      </c>
    </row>
    <row r="540" spans="1:6" x14ac:dyDescent="0.25">
      <c r="A540" t="s">
        <v>29</v>
      </c>
      <c r="B540" t="s">
        <v>685</v>
      </c>
      <c r="C540" t="s">
        <v>686</v>
      </c>
      <c r="D540" s="2">
        <v>42006</v>
      </c>
      <c r="E540">
        <f>IF(RIGHT(LeaversJoiners[[#This Row],[Code]],1)=")",1,0)</f>
        <v>0</v>
      </c>
      <c r="F540" t="str">
        <f>IF(LeaversJoiners[[#This Row],[Sütun1]]=1,LEFT(LeaversJoiners[[#This Row],[Code]],FIND("^",LeaversJoiners[[#This Row],[Code]])-1),LeaversJoiners[[#This Row],[Code]])</f>
        <v xml:space="preserve">RAYSG.IS </v>
      </c>
    </row>
    <row r="541" spans="1:6" x14ac:dyDescent="0.25">
      <c r="A541" t="s">
        <v>29</v>
      </c>
      <c r="B541" t="s">
        <v>707</v>
      </c>
      <c r="C541" t="s">
        <v>708</v>
      </c>
      <c r="D541" s="2">
        <v>42006</v>
      </c>
      <c r="E541">
        <f>IF(RIGHT(LeaversJoiners[[#This Row],[Code]],1)=")",1,0)</f>
        <v>0</v>
      </c>
      <c r="F541" t="str">
        <f>IF(LeaversJoiners[[#This Row],[Sütun1]]=1,LEFT(LeaversJoiners[[#This Row],[Code]],FIND("^",LeaversJoiners[[#This Row],[Code]])-1),LeaversJoiners[[#This Row],[Code]])</f>
        <v xml:space="preserve">SEKFK.IS </v>
      </c>
    </row>
    <row r="542" spans="1:6" x14ac:dyDescent="0.25">
      <c r="A542" t="s">
        <v>29</v>
      </c>
      <c r="B542" t="s">
        <v>78</v>
      </c>
      <c r="C542" t="s">
        <v>79</v>
      </c>
      <c r="D542" s="2">
        <v>42006</v>
      </c>
      <c r="E542">
        <f>IF(RIGHT(LeaversJoiners[[#This Row],[Code]],1)=")",1,0)</f>
        <v>0</v>
      </c>
      <c r="F542" t="str">
        <f>IF(LeaversJoiners[[#This Row],[Sütun1]]=1,LEFT(LeaversJoiners[[#This Row],[Code]],FIND("^",LeaversJoiners[[#This Row],[Code]])-1),LeaversJoiners[[#This Row],[Code]])</f>
        <v xml:space="preserve">SNPAM.IS </v>
      </c>
    </row>
    <row r="543" spans="1:6" x14ac:dyDescent="0.25">
      <c r="A543" t="s">
        <v>29</v>
      </c>
      <c r="B543" t="s">
        <v>82</v>
      </c>
      <c r="C543" t="s">
        <v>83</v>
      </c>
      <c r="D543" s="2">
        <v>42006</v>
      </c>
      <c r="E543">
        <f>IF(RIGHT(LeaversJoiners[[#This Row],[Code]],1)=")",1,0)</f>
        <v>0</v>
      </c>
      <c r="F543" t="str">
        <f>IF(LeaversJoiners[[#This Row],[Sütun1]]=1,LEFT(LeaversJoiners[[#This Row],[Code]],FIND("^",LeaversJoiners[[#This Row],[Code]])-1),LeaversJoiners[[#This Row],[Code]])</f>
        <v xml:space="preserve">KLNMA.IS </v>
      </c>
    </row>
    <row r="544" spans="1:6" x14ac:dyDescent="0.25">
      <c r="A544" t="s">
        <v>29</v>
      </c>
      <c r="B544" t="s">
        <v>368</v>
      </c>
      <c r="C544" t="s">
        <v>369</v>
      </c>
      <c r="D544" s="2">
        <v>42006</v>
      </c>
      <c r="E544">
        <f>IF(RIGHT(LeaversJoiners[[#This Row],[Code]],1)=")",1,0)</f>
        <v>0</v>
      </c>
      <c r="F544" t="str">
        <f>IF(LeaversJoiners[[#This Row],[Sütun1]]=1,LEFT(LeaversJoiners[[#This Row],[Code]],FIND("^",LeaversJoiners[[#This Row],[Code]])-1),LeaversJoiners[[#This Row],[Code]])</f>
        <v xml:space="preserve">UFUK.IS </v>
      </c>
    </row>
    <row r="545" spans="1:6" x14ac:dyDescent="0.25">
      <c r="A545" t="s">
        <v>29</v>
      </c>
      <c r="B545" t="s">
        <v>615</v>
      </c>
      <c r="C545" t="s">
        <v>616</v>
      </c>
      <c r="D545" s="2">
        <v>42006</v>
      </c>
      <c r="E545">
        <f>IF(RIGHT(LeaversJoiners[[#This Row],[Code]],1)=")",1,0)</f>
        <v>0</v>
      </c>
      <c r="F545" t="str">
        <f>IF(LeaversJoiners[[#This Row],[Sütun1]]=1,LEFT(LeaversJoiners[[#This Row],[Code]],FIND("^",LeaversJoiners[[#This Row],[Code]])-1),LeaversJoiners[[#This Row],[Code]])</f>
        <v xml:space="preserve">ULAS.IS </v>
      </c>
    </row>
    <row r="546" spans="1:6" x14ac:dyDescent="0.25">
      <c r="A546" t="s">
        <v>29</v>
      </c>
      <c r="B546" t="s">
        <v>809</v>
      </c>
      <c r="C546" t="s">
        <v>810</v>
      </c>
      <c r="D546" s="2">
        <v>42006</v>
      </c>
      <c r="E546">
        <f>IF(RIGHT(LeaversJoiners[[#This Row],[Code]],1)=")",1,0)</f>
        <v>1</v>
      </c>
      <c r="F546" t="str">
        <f>IF(LeaversJoiners[[#This Row],[Sütun1]]=1,LEFT(LeaversJoiners[[#This Row],[Code]],FIND("^",LeaversJoiners[[#This Row],[Code]])-1),LeaversJoiners[[#This Row],[Code]])</f>
        <v>UNICO.IS</v>
      </c>
    </row>
    <row r="547" spans="1:6" x14ac:dyDescent="0.25">
      <c r="A547" t="s">
        <v>29</v>
      </c>
      <c r="B547" t="s">
        <v>619</v>
      </c>
      <c r="C547" t="s">
        <v>620</v>
      </c>
      <c r="D547" s="2">
        <v>42006</v>
      </c>
      <c r="E547">
        <f>IF(RIGHT(LeaversJoiners[[#This Row],[Code]],1)=")",1,0)</f>
        <v>0</v>
      </c>
      <c r="F547" t="str">
        <f>IF(LeaversJoiners[[#This Row],[Sütun1]]=1,LEFT(LeaversJoiners[[#This Row],[Code]],FIND("^",LeaversJoiners[[#This Row],[Code]])-1),LeaversJoiners[[#This Row],[Code]])</f>
        <v xml:space="preserve">YAPRK.IS </v>
      </c>
    </row>
    <row r="548" spans="1:6" x14ac:dyDescent="0.25">
      <c r="A548" t="s">
        <v>29</v>
      </c>
      <c r="B548" t="s">
        <v>30</v>
      </c>
      <c r="C548" t="s">
        <v>31</v>
      </c>
      <c r="D548" s="2">
        <v>42006</v>
      </c>
      <c r="E548">
        <f>IF(RIGHT(LeaversJoiners[[#This Row],[Code]],1)=")",1,0)</f>
        <v>0</v>
      </c>
      <c r="F548" t="str">
        <f>IF(LeaversJoiners[[#This Row],[Sütun1]]=1,LEFT(LeaversJoiners[[#This Row],[Code]],FIND("^",LeaversJoiners[[#This Row],[Code]])-1),LeaversJoiners[[#This Row],[Code]])</f>
        <v xml:space="preserve">YYAPI.IS </v>
      </c>
    </row>
    <row r="549" spans="1:6" x14ac:dyDescent="0.25">
      <c r="A549" t="s">
        <v>4</v>
      </c>
      <c r="B549" t="s">
        <v>609</v>
      </c>
      <c r="C549" t="s">
        <v>610</v>
      </c>
      <c r="D549" s="2">
        <v>41999</v>
      </c>
      <c r="E549">
        <f>IF(RIGHT(LeaversJoiners[[#This Row],[Code]],1)=")",1,0)</f>
        <v>0</v>
      </c>
      <c r="F549" t="str">
        <f>IF(LeaversJoiners[[#This Row],[Sütun1]]=1,LEFT(LeaversJoiners[[#This Row],[Code]],FIND("^",LeaversJoiners[[#This Row],[Code]])-1),LeaversJoiners[[#This Row],[Code]])</f>
        <v xml:space="preserve">SAYAS.IS </v>
      </c>
    </row>
    <row r="550" spans="1:6" x14ac:dyDescent="0.25">
      <c r="A550" t="s">
        <v>4</v>
      </c>
      <c r="B550" t="s">
        <v>811</v>
      </c>
      <c r="C550" t="s">
        <v>812</v>
      </c>
      <c r="D550" s="2">
        <v>41964</v>
      </c>
      <c r="E550">
        <f>IF(RIGHT(LeaversJoiners[[#This Row],[Code]],1)=")",1,0)</f>
        <v>0</v>
      </c>
      <c r="F550" t="str">
        <f>IF(LeaversJoiners[[#This Row],[Sütun1]]=1,LEFT(LeaversJoiners[[#This Row],[Code]],FIND("^",LeaversJoiners[[#This Row],[Code]])-1),LeaversJoiners[[#This Row],[Code]])</f>
        <v xml:space="preserve">ULUSE.IS </v>
      </c>
    </row>
    <row r="551" spans="1:6" x14ac:dyDescent="0.25">
      <c r="A551" t="s">
        <v>4</v>
      </c>
      <c r="B551" t="s">
        <v>813</v>
      </c>
      <c r="C551" t="s">
        <v>814</v>
      </c>
      <c r="D551" s="2">
        <v>41962</v>
      </c>
      <c r="E551">
        <f>IF(RIGHT(LeaversJoiners[[#This Row],[Code]],1)=")",1,0)</f>
        <v>0</v>
      </c>
      <c r="F551" t="str">
        <f>IF(LeaversJoiners[[#This Row],[Sütun1]]=1,LEFT(LeaversJoiners[[#This Row],[Code]],FIND("^",LeaversJoiners[[#This Row],[Code]])-1),LeaversJoiners[[#This Row],[Code]])</f>
        <v xml:space="preserve">ULUUN.IS </v>
      </c>
    </row>
    <row r="552" spans="1:6" x14ac:dyDescent="0.25">
      <c r="A552" t="s">
        <v>4</v>
      </c>
      <c r="B552" t="s">
        <v>815</v>
      </c>
      <c r="C552" t="s">
        <v>816</v>
      </c>
      <c r="D552" s="2">
        <v>41955</v>
      </c>
      <c r="E552">
        <f>IF(RIGHT(LeaversJoiners[[#This Row],[Code]],1)=")",1,0)</f>
        <v>0</v>
      </c>
      <c r="F552" t="str">
        <f>IF(LeaversJoiners[[#This Row],[Sütun1]]=1,LEFT(LeaversJoiners[[#This Row],[Code]],FIND("^",LeaversJoiners[[#This Row],[Code]])-1),LeaversJoiners[[#This Row],[Code]])</f>
        <v xml:space="preserve">AGESA.IS </v>
      </c>
    </row>
    <row r="553" spans="1:6" x14ac:dyDescent="0.25">
      <c r="A553" t="s">
        <v>4</v>
      </c>
      <c r="B553" t="s">
        <v>725</v>
      </c>
      <c r="C553" t="s">
        <v>726</v>
      </c>
      <c r="D553" s="2">
        <v>41954</v>
      </c>
      <c r="E553">
        <f>IF(RIGHT(LeaversJoiners[[#This Row],[Code]],1)=")",1,0)</f>
        <v>0</v>
      </c>
      <c r="F553" t="str">
        <f>IF(LeaversJoiners[[#This Row],[Sütun1]]=1,LEFT(LeaversJoiners[[#This Row],[Code]],FIND("^",LeaversJoiners[[#This Row],[Code]])-1),LeaversJoiners[[#This Row],[Code]])</f>
        <v xml:space="preserve">PSDTC.IS </v>
      </c>
    </row>
    <row r="554" spans="1:6" x14ac:dyDescent="0.25">
      <c r="A554" t="s">
        <v>29</v>
      </c>
      <c r="B554" t="s">
        <v>817</v>
      </c>
      <c r="C554" t="s">
        <v>818</v>
      </c>
      <c r="D554" s="2">
        <v>41929</v>
      </c>
      <c r="E554">
        <f>IF(RIGHT(LeaversJoiners[[#This Row],[Code]],1)=")",1,0)</f>
        <v>1</v>
      </c>
      <c r="F554" t="str">
        <f>IF(LeaversJoiners[[#This Row],[Sütun1]]=1,LEFT(LeaversJoiners[[#This Row],[Code]],FIND("^",LeaversJoiners[[#This Row],[Code]])-1),LeaversJoiners[[#This Row],[Code]])</f>
        <v>LATEK.IS</v>
      </c>
    </row>
    <row r="555" spans="1:6" x14ac:dyDescent="0.25">
      <c r="A555" t="s">
        <v>29</v>
      </c>
      <c r="B555" t="s">
        <v>819</v>
      </c>
      <c r="C555" t="s">
        <v>820</v>
      </c>
      <c r="D555" s="2">
        <v>41912</v>
      </c>
      <c r="E555">
        <f>IF(RIGHT(LeaversJoiners[[#This Row],[Code]],1)=")",1,0)</f>
        <v>1</v>
      </c>
      <c r="F555" t="str">
        <f>IF(LeaversJoiners[[#This Row],[Sütun1]]=1,LEFT(LeaversJoiners[[#This Row],[Code]],FIND("^",LeaversJoiners[[#This Row],[Code]])-1),LeaversJoiners[[#This Row],[Code]])</f>
        <v>ASYAB.IS</v>
      </c>
    </row>
    <row r="556" spans="1:6" x14ac:dyDescent="0.25">
      <c r="A556" t="s">
        <v>29</v>
      </c>
      <c r="B556" t="s">
        <v>821</v>
      </c>
      <c r="C556" t="s">
        <v>822</v>
      </c>
      <c r="D556" s="2">
        <v>41912</v>
      </c>
      <c r="E556">
        <f>IF(RIGHT(LeaversJoiners[[#This Row],[Code]],1)=")",1,0)</f>
        <v>1</v>
      </c>
      <c r="F556" t="str">
        <f>IF(LeaversJoiners[[#This Row],[Sütun1]]=1,LEFT(LeaversJoiners[[#This Row],[Code]],FIND("^",LeaversJoiners[[#This Row],[Code]])-1),LeaversJoiners[[#This Row],[Code]])</f>
        <v>ISYHO.IS</v>
      </c>
    </row>
    <row r="557" spans="1:6" x14ac:dyDescent="0.25">
      <c r="A557" t="s">
        <v>4</v>
      </c>
      <c r="B557" t="s">
        <v>819</v>
      </c>
      <c r="C557" t="s">
        <v>820</v>
      </c>
      <c r="D557" s="2">
        <v>41897</v>
      </c>
      <c r="E557">
        <f>IF(RIGHT(LeaversJoiners[[#This Row],[Code]],1)=")",1,0)</f>
        <v>1</v>
      </c>
      <c r="F557" t="str">
        <f>IF(LeaversJoiners[[#This Row],[Sütun1]]=1,LEFT(LeaversJoiners[[#This Row],[Code]],FIND("^",LeaversJoiners[[#This Row],[Code]])-1),LeaversJoiners[[#This Row],[Code]])</f>
        <v>ASYAB.IS</v>
      </c>
    </row>
    <row r="558" spans="1:6" x14ac:dyDescent="0.25">
      <c r="A558" t="s">
        <v>29</v>
      </c>
      <c r="B558" t="s">
        <v>823</v>
      </c>
      <c r="C558" t="s">
        <v>824</v>
      </c>
      <c r="D558" s="2">
        <v>41883</v>
      </c>
      <c r="E558">
        <f>IF(RIGHT(LeaversJoiners[[#This Row],[Code]],1)=")",1,0)</f>
        <v>1</v>
      </c>
      <c r="F558" t="str">
        <f>IF(LeaversJoiners[[#This Row],[Sütun1]]=1,LEFT(LeaversJoiners[[#This Row],[Code]],FIND("^",LeaversJoiners[[#This Row],[Code]])-1),LeaversJoiners[[#This Row],[Code]])</f>
        <v>DYHOL.IS</v>
      </c>
    </row>
    <row r="559" spans="1:6" x14ac:dyDescent="0.25">
      <c r="A559" t="s">
        <v>29</v>
      </c>
      <c r="B559" t="s">
        <v>819</v>
      </c>
      <c r="C559" t="s">
        <v>820</v>
      </c>
      <c r="D559" s="2">
        <v>41866</v>
      </c>
      <c r="E559">
        <f>IF(RIGHT(LeaversJoiners[[#This Row],[Code]],1)=")",1,0)</f>
        <v>1</v>
      </c>
      <c r="F559" t="str">
        <f>IF(LeaversJoiners[[#This Row],[Sütun1]]=1,LEFT(LeaversJoiners[[#This Row],[Code]],FIND("^",LeaversJoiners[[#This Row],[Code]])-1),LeaversJoiners[[#This Row],[Code]])</f>
        <v>ASYAB.IS</v>
      </c>
    </row>
    <row r="560" spans="1:6" x14ac:dyDescent="0.25">
      <c r="A560" t="s">
        <v>4</v>
      </c>
      <c r="B560" t="s">
        <v>607</v>
      </c>
      <c r="C560" t="s">
        <v>608</v>
      </c>
      <c r="D560" s="2">
        <v>41830</v>
      </c>
      <c r="E560">
        <f>IF(RIGHT(LeaversJoiners[[#This Row],[Code]],1)=")",1,0)</f>
        <v>0</v>
      </c>
      <c r="F560" t="str">
        <f>IF(LeaversJoiners[[#This Row],[Sütun1]]=1,LEFT(LeaversJoiners[[#This Row],[Code]],FIND("^",LeaversJoiners[[#This Row],[Code]])-1),LeaversJoiners[[#This Row],[Code]])</f>
        <v xml:space="preserve">SANFM.IS </v>
      </c>
    </row>
    <row r="561" spans="1:6" x14ac:dyDescent="0.25">
      <c r="A561" t="s">
        <v>4</v>
      </c>
      <c r="B561" t="s">
        <v>593</v>
      </c>
      <c r="C561" t="s">
        <v>594</v>
      </c>
      <c r="D561" s="2">
        <v>41809</v>
      </c>
      <c r="E561">
        <f>IF(RIGHT(LeaversJoiners[[#This Row],[Code]],1)=")",1,0)</f>
        <v>0</v>
      </c>
      <c r="F561" t="str">
        <f>IF(LeaversJoiners[[#This Row],[Sütun1]]=1,LEFT(LeaversJoiners[[#This Row],[Code]],FIND("^",LeaversJoiners[[#This Row],[Code]])-1),LeaversJoiners[[#This Row],[Code]])</f>
        <v xml:space="preserve">LIDFA.IS </v>
      </c>
    </row>
    <row r="562" spans="1:6" x14ac:dyDescent="0.25">
      <c r="A562" t="s">
        <v>4</v>
      </c>
      <c r="B562" t="s">
        <v>825</v>
      </c>
      <c r="C562" t="s">
        <v>826</v>
      </c>
      <c r="D562" s="2">
        <v>41803</v>
      </c>
      <c r="E562">
        <f>IF(RIGHT(LeaversJoiners[[#This Row],[Code]],1)=")",1,0)</f>
        <v>0</v>
      </c>
      <c r="F562" t="str">
        <f>IF(LeaversJoiners[[#This Row],[Sütun1]]=1,LEFT(LeaversJoiners[[#This Row],[Code]],FIND("^",LeaversJoiners[[#This Row],[Code]])-1),LeaversJoiners[[#This Row],[Code]])</f>
        <v xml:space="preserve">TUCLK.IS </v>
      </c>
    </row>
    <row r="563" spans="1:6" x14ac:dyDescent="0.25">
      <c r="A563" t="s">
        <v>29</v>
      </c>
      <c r="B563" t="s">
        <v>827</v>
      </c>
      <c r="C563" t="s">
        <v>828</v>
      </c>
      <c r="D563" s="2">
        <v>41793</v>
      </c>
      <c r="E563">
        <f>IF(RIGHT(LeaversJoiners[[#This Row],[Code]],1)=")",1,0)</f>
        <v>1</v>
      </c>
      <c r="F563" t="str">
        <f>IF(LeaversJoiners[[#This Row],[Sütun1]]=1,LEFT(LeaversJoiners[[#This Row],[Code]],FIND("^",LeaversJoiners[[#This Row],[Code]])-1),LeaversJoiners[[#This Row],[Code]])</f>
        <v>ARTOG.IS</v>
      </c>
    </row>
    <row r="564" spans="1:6" x14ac:dyDescent="0.25">
      <c r="A564" t="s">
        <v>29</v>
      </c>
      <c r="B564" t="s">
        <v>829</v>
      </c>
      <c r="C564" t="s">
        <v>830</v>
      </c>
      <c r="D564" s="2">
        <v>41793</v>
      </c>
      <c r="E564">
        <f>IF(RIGHT(LeaversJoiners[[#This Row],[Code]],1)=")",1,0)</f>
        <v>1</v>
      </c>
      <c r="F564" t="str">
        <f>IF(LeaversJoiners[[#This Row],[Sütun1]]=1,LEFT(LeaversJoiners[[#This Row],[Code]],FIND("^",LeaversJoiners[[#This Row],[Code]])-1),LeaversJoiners[[#This Row],[Code]])</f>
        <v>CLKHO.IS</v>
      </c>
    </row>
    <row r="565" spans="1:6" x14ac:dyDescent="0.25">
      <c r="A565" t="s">
        <v>29</v>
      </c>
      <c r="B565" t="s">
        <v>831</v>
      </c>
      <c r="C565" t="s">
        <v>832</v>
      </c>
      <c r="D565" s="2">
        <v>41793</v>
      </c>
      <c r="E565">
        <f>IF(RIGHT(LeaversJoiners[[#This Row],[Code]],1)=")",1,0)</f>
        <v>1</v>
      </c>
      <c r="F565" t="str">
        <f>IF(LeaversJoiners[[#This Row],[Sütun1]]=1,LEFT(LeaversJoiners[[#This Row],[Code]],FIND("^",LeaversJoiners[[#This Row],[Code]])-1),LeaversJoiners[[#This Row],[Code]])</f>
        <v>ERICO.IS</v>
      </c>
    </row>
    <row r="566" spans="1:6" x14ac:dyDescent="0.25">
      <c r="A566" t="s">
        <v>4</v>
      </c>
      <c r="B566" t="s">
        <v>833</v>
      </c>
      <c r="C566" t="s">
        <v>834</v>
      </c>
      <c r="D566" s="2">
        <v>41793</v>
      </c>
      <c r="E566">
        <f>IF(RIGHT(LeaversJoiners[[#This Row],[Code]],1)=")",1,0)</f>
        <v>0</v>
      </c>
      <c r="F566" t="str">
        <f>IF(LeaversJoiners[[#This Row],[Sütun1]]=1,LEFT(LeaversJoiners[[#This Row],[Code]],FIND("^",LeaversJoiners[[#This Row],[Code]])-1),LeaversJoiners[[#This Row],[Code]])</f>
        <v xml:space="preserve">RTALB.IS </v>
      </c>
    </row>
    <row r="567" spans="1:6" x14ac:dyDescent="0.25">
      <c r="A567" t="s">
        <v>4</v>
      </c>
      <c r="B567" t="s">
        <v>831</v>
      </c>
      <c r="C567" t="s">
        <v>832</v>
      </c>
      <c r="D567" s="2">
        <v>41785</v>
      </c>
      <c r="E567">
        <f>IF(RIGHT(LeaversJoiners[[#This Row],[Code]],1)=")",1,0)</f>
        <v>1</v>
      </c>
      <c r="F567" t="str">
        <f>IF(LeaversJoiners[[#This Row],[Sütun1]]=1,LEFT(LeaversJoiners[[#This Row],[Code]],FIND("^",LeaversJoiners[[#This Row],[Code]])-1),LeaversJoiners[[#This Row],[Code]])</f>
        <v>ERICO.IS</v>
      </c>
    </row>
    <row r="568" spans="1:6" x14ac:dyDescent="0.25">
      <c r="A568" t="s">
        <v>29</v>
      </c>
      <c r="B568" t="s">
        <v>831</v>
      </c>
      <c r="C568" t="s">
        <v>832</v>
      </c>
      <c r="D568" s="2">
        <v>41781</v>
      </c>
      <c r="E568">
        <f>IF(RIGHT(LeaversJoiners[[#This Row],[Code]],1)=")",1,0)</f>
        <v>1</v>
      </c>
      <c r="F568" t="str">
        <f>IF(LeaversJoiners[[#This Row],[Sütun1]]=1,LEFT(LeaversJoiners[[#This Row],[Code]],FIND("^",LeaversJoiners[[#This Row],[Code]])-1),LeaversJoiners[[#This Row],[Code]])</f>
        <v>ERICO.IS</v>
      </c>
    </row>
    <row r="569" spans="1:6" x14ac:dyDescent="0.25">
      <c r="A569" t="s">
        <v>29</v>
      </c>
      <c r="B569" t="s">
        <v>835</v>
      </c>
      <c r="C569" t="s">
        <v>836</v>
      </c>
      <c r="D569" s="2">
        <v>41765</v>
      </c>
      <c r="E569">
        <f>IF(RIGHT(LeaversJoiners[[#This Row],[Code]],1)=")",1,0)</f>
        <v>1</v>
      </c>
      <c r="F569" t="str">
        <f>IF(LeaversJoiners[[#This Row],[Sütun1]]=1,LEFT(LeaversJoiners[[#This Row],[Code]],FIND("^",LeaversJoiners[[#This Row],[Code]])-1),LeaversJoiners[[#This Row],[Code]])</f>
        <v>GNPWR.IS</v>
      </c>
    </row>
    <row r="570" spans="1:6" x14ac:dyDescent="0.25">
      <c r="A570" t="s">
        <v>4</v>
      </c>
      <c r="B570" t="s">
        <v>591</v>
      </c>
      <c r="C570" t="s">
        <v>592</v>
      </c>
      <c r="D570" s="2">
        <v>41765</v>
      </c>
      <c r="E570">
        <f>IF(RIGHT(LeaversJoiners[[#This Row],[Code]],1)=")",1,0)</f>
        <v>0</v>
      </c>
      <c r="F570" t="str">
        <f>IF(LeaversJoiners[[#This Row],[Sütun1]]=1,LEFT(LeaversJoiners[[#This Row],[Code]],FIND("^",LeaversJoiners[[#This Row],[Code]])-1),LeaversJoiners[[#This Row],[Code]])</f>
        <v xml:space="preserve">KRGYO.IS </v>
      </c>
    </row>
    <row r="571" spans="1:6" x14ac:dyDescent="0.25">
      <c r="A571" t="s">
        <v>4</v>
      </c>
      <c r="B571" t="s">
        <v>751</v>
      </c>
      <c r="C571" t="s">
        <v>752</v>
      </c>
      <c r="D571" s="2">
        <v>41757</v>
      </c>
      <c r="E571">
        <f>IF(RIGHT(LeaversJoiners[[#This Row],[Code]],1)=")",1,0)</f>
        <v>1</v>
      </c>
      <c r="F571" t="str">
        <f>IF(LeaversJoiners[[#This Row],[Sütun1]]=1,LEFT(LeaversJoiners[[#This Row],[Code]],FIND("^",LeaversJoiners[[#This Row],[Code]])-1),LeaversJoiners[[#This Row],[Code]])</f>
        <v>ARBUL.IS</v>
      </c>
    </row>
    <row r="572" spans="1:6" x14ac:dyDescent="0.25">
      <c r="A572" t="s">
        <v>29</v>
      </c>
      <c r="B572" t="s">
        <v>19</v>
      </c>
      <c r="C572" t="s">
        <v>20</v>
      </c>
      <c r="D572" s="2">
        <v>41747</v>
      </c>
      <c r="E572">
        <f>IF(RIGHT(LeaversJoiners[[#This Row],[Code]],1)=")",1,0)</f>
        <v>0</v>
      </c>
      <c r="F572" t="str">
        <f>IF(LeaversJoiners[[#This Row],[Sütun1]]=1,LEFT(LeaversJoiners[[#This Row],[Code]],FIND("^",LeaversJoiners[[#This Row],[Code]])-1),LeaversJoiners[[#This Row],[Code]])</f>
        <v xml:space="preserve">KUVVA.IS </v>
      </c>
    </row>
    <row r="573" spans="1:6" x14ac:dyDescent="0.25">
      <c r="A573" t="s">
        <v>29</v>
      </c>
      <c r="B573" t="s">
        <v>837</v>
      </c>
      <c r="C573" t="s">
        <v>838</v>
      </c>
      <c r="D573" s="2">
        <v>41732</v>
      </c>
      <c r="E573">
        <f>IF(RIGHT(LeaversJoiners[[#This Row],[Code]],1)=")",1,0)</f>
        <v>1</v>
      </c>
      <c r="F573" t="str">
        <f>IF(LeaversJoiners[[#This Row],[Sütun1]]=1,LEFT(LeaversJoiners[[#This Row],[Code]],FIND("^",LeaversJoiners[[#This Row],[Code]])-1),LeaversJoiners[[#This Row],[Code]])</f>
        <v>AFMAS.IS</v>
      </c>
    </row>
    <row r="574" spans="1:6" x14ac:dyDescent="0.25">
      <c r="A574" t="s">
        <v>29</v>
      </c>
      <c r="B574" t="s">
        <v>839</v>
      </c>
      <c r="C574" t="s">
        <v>840</v>
      </c>
      <c r="D574" s="2">
        <v>41730</v>
      </c>
      <c r="E574">
        <f>IF(RIGHT(LeaversJoiners[[#This Row],[Code]],1)=")",1,0)</f>
        <v>1</v>
      </c>
      <c r="F574" t="str">
        <f>IF(LeaversJoiners[[#This Row],[Sütun1]]=1,LEFT(LeaversJoiners[[#This Row],[Code]],FIND("^",LeaversJoiners[[#This Row],[Code]])-1),LeaversJoiners[[#This Row],[Code]])</f>
        <v>DENTA.IS</v>
      </c>
    </row>
    <row r="575" spans="1:6" x14ac:dyDescent="0.25">
      <c r="A575" t="s">
        <v>29</v>
      </c>
      <c r="B575" t="s">
        <v>841</v>
      </c>
      <c r="C575" t="s">
        <v>842</v>
      </c>
      <c r="D575" s="2">
        <v>41730</v>
      </c>
      <c r="E575">
        <f>IF(RIGHT(LeaversJoiners[[#This Row],[Code]],1)=")",1,0)</f>
        <v>1</v>
      </c>
      <c r="F575" t="str">
        <f>IF(LeaversJoiners[[#This Row],[Sütun1]]=1,LEFT(LeaversJoiners[[#This Row],[Code]],FIND("^",LeaversJoiners[[#This Row],[Code]])-1),LeaversJoiners[[#This Row],[Code]])</f>
        <v>YKSGR.IS</v>
      </c>
    </row>
    <row r="576" spans="1:6" x14ac:dyDescent="0.25">
      <c r="A576" t="s">
        <v>29</v>
      </c>
      <c r="B576" t="s">
        <v>843</v>
      </c>
      <c r="C576" t="s">
        <v>844</v>
      </c>
      <c r="D576" s="2">
        <v>41715</v>
      </c>
      <c r="E576">
        <f>IF(RIGHT(LeaversJoiners[[#This Row],[Code]],1)=")",1,0)</f>
        <v>1</v>
      </c>
      <c r="F576" t="str">
        <f>IF(LeaversJoiners[[#This Row],[Sütun1]]=1,LEFT(LeaversJoiners[[#This Row],[Code]],FIND("^",LeaversJoiners[[#This Row],[Code]])-1),LeaversJoiners[[#This Row],[Code]])</f>
        <v>MRTGG.IS</v>
      </c>
    </row>
    <row r="577" spans="1:6" x14ac:dyDescent="0.25">
      <c r="A577" t="s">
        <v>29</v>
      </c>
      <c r="B577" t="s">
        <v>845</v>
      </c>
      <c r="C577" t="s">
        <v>846</v>
      </c>
      <c r="D577" s="2">
        <v>41696</v>
      </c>
      <c r="E577">
        <f>IF(RIGHT(LeaversJoiners[[#This Row],[Code]],1)=")",1,0)</f>
        <v>1</v>
      </c>
      <c r="F577" t="str">
        <f>IF(LeaversJoiners[[#This Row],[Sütun1]]=1,LEFT(LeaversJoiners[[#This Row],[Code]],FIND("^",LeaversJoiners[[#This Row],[Code]])-1),LeaversJoiners[[#This Row],[Code]])</f>
        <v>BSHEV.IS</v>
      </c>
    </row>
    <row r="578" spans="1:6" x14ac:dyDescent="0.25">
      <c r="A578" t="s">
        <v>4</v>
      </c>
      <c r="B578" t="s">
        <v>847</v>
      </c>
      <c r="C578" t="s">
        <v>848</v>
      </c>
      <c r="D578" s="2">
        <v>41660</v>
      </c>
      <c r="E578">
        <f>IF(RIGHT(LeaversJoiners[[#This Row],[Code]],1)=")",1,0)</f>
        <v>0</v>
      </c>
      <c r="F578" t="str">
        <f>IF(LeaversJoiners[[#This Row],[Sütun1]]=1,LEFT(LeaversJoiners[[#This Row],[Code]],FIND("^",LeaversJoiners[[#This Row],[Code]])-1),LeaversJoiners[[#This Row],[Code]])</f>
        <v xml:space="preserve">GEDZA.IS </v>
      </c>
    </row>
    <row r="579" spans="1:6" x14ac:dyDescent="0.25">
      <c r="A579" t="s">
        <v>29</v>
      </c>
      <c r="B579" t="s">
        <v>849</v>
      </c>
      <c r="C579" t="s">
        <v>850</v>
      </c>
      <c r="D579" s="2">
        <v>41641</v>
      </c>
      <c r="E579">
        <f>IF(RIGHT(LeaversJoiners[[#This Row],[Code]],1)=")",1,0)</f>
        <v>1</v>
      </c>
      <c r="F579" t="str">
        <f>IF(LeaversJoiners[[#This Row],[Sütun1]]=1,LEFT(LeaversJoiners[[#This Row],[Code]],FIND("^",LeaversJoiners[[#This Row],[Code]])-1),LeaversJoiners[[#This Row],[Code]])</f>
        <v>ATAC.IS</v>
      </c>
    </row>
    <row r="580" spans="1:6" x14ac:dyDescent="0.25">
      <c r="A580" t="s">
        <v>29</v>
      </c>
      <c r="B580" t="s">
        <v>851</v>
      </c>
      <c r="C580" t="s">
        <v>852</v>
      </c>
      <c r="D580" s="2">
        <v>41639</v>
      </c>
      <c r="E580">
        <f>IF(RIGHT(LeaversJoiners[[#This Row],[Code]],1)=")",1,0)</f>
        <v>1</v>
      </c>
      <c r="F580" t="str">
        <f>IF(LeaversJoiners[[#This Row],[Sütun1]]=1,LEFT(LeaversJoiners[[#This Row],[Code]],FIND("^",LeaversJoiners[[#This Row],[Code]])-1),LeaversJoiners[[#This Row],[Code]])</f>
        <v>FVORI.IS</v>
      </c>
    </row>
    <row r="581" spans="1:6" x14ac:dyDescent="0.25">
      <c r="A581" t="s">
        <v>29</v>
      </c>
      <c r="B581" t="s">
        <v>853</v>
      </c>
      <c r="C581" t="s">
        <v>854</v>
      </c>
      <c r="D581" s="2">
        <v>41639</v>
      </c>
      <c r="E581">
        <f>IF(RIGHT(LeaversJoiners[[#This Row],[Code]],1)=")",1,0)</f>
        <v>1</v>
      </c>
      <c r="F581" t="str">
        <f>IF(LeaversJoiners[[#This Row],[Sütun1]]=1,LEFT(LeaversJoiners[[#This Row],[Code]],FIND("^",LeaversJoiners[[#This Row],[Code]])-1),LeaversJoiners[[#This Row],[Code]])</f>
        <v>MEMSA.IS</v>
      </c>
    </row>
    <row r="582" spans="1:6" x14ac:dyDescent="0.25">
      <c r="A582" t="s">
        <v>4</v>
      </c>
      <c r="B582" t="s">
        <v>679</v>
      </c>
      <c r="C582" t="s">
        <v>680</v>
      </c>
      <c r="D582" s="2">
        <v>41635</v>
      </c>
      <c r="E582">
        <f>IF(RIGHT(LeaversJoiners[[#This Row],[Code]],1)=")",1,0)</f>
        <v>0</v>
      </c>
      <c r="F582" t="str">
        <f>IF(LeaversJoiners[[#This Row],[Sütun1]]=1,LEFT(LeaversJoiners[[#This Row],[Code]],FIND("^",LeaversJoiners[[#This Row],[Code]])-1),LeaversJoiners[[#This Row],[Code]])</f>
        <v xml:space="preserve">DZGYO.IS </v>
      </c>
    </row>
    <row r="583" spans="1:6" x14ac:dyDescent="0.25">
      <c r="A583" t="s">
        <v>4</v>
      </c>
      <c r="B583" t="s">
        <v>855</v>
      </c>
      <c r="C583" t="s">
        <v>856</v>
      </c>
      <c r="D583" s="2">
        <v>41627</v>
      </c>
      <c r="E583">
        <f>IF(RIGHT(LeaversJoiners[[#This Row],[Code]],1)=")",1,0)</f>
        <v>0</v>
      </c>
      <c r="F583" t="str">
        <f>IF(LeaversJoiners[[#This Row],[Sütun1]]=1,LEFT(LeaversJoiners[[#This Row],[Code]],FIND("^",LeaversJoiners[[#This Row],[Code]])-1),LeaversJoiners[[#This Row],[Code]])</f>
        <v xml:space="preserve">KUYAS.IS </v>
      </c>
    </row>
    <row r="584" spans="1:6" x14ac:dyDescent="0.25">
      <c r="A584" t="s">
        <v>4</v>
      </c>
      <c r="B584" t="s">
        <v>857</v>
      </c>
      <c r="C584" t="s">
        <v>858</v>
      </c>
      <c r="D584" s="2">
        <v>41610</v>
      </c>
      <c r="E584">
        <f>IF(RIGHT(LeaversJoiners[[#This Row],[Code]],1)=")",1,0)</f>
        <v>0</v>
      </c>
      <c r="F584" t="str">
        <f>IF(LeaversJoiners[[#This Row],[Sütun1]]=1,LEFT(LeaversJoiners[[#This Row],[Code]],FIND("^",LeaversJoiners[[#This Row],[Code]])-1),LeaversJoiners[[#This Row],[Code]])</f>
        <v xml:space="preserve">SANEL.IS </v>
      </c>
    </row>
    <row r="585" spans="1:6" x14ac:dyDescent="0.25">
      <c r="A585" t="s">
        <v>4</v>
      </c>
      <c r="B585" t="s">
        <v>859</v>
      </c>
      <c r="C585" t="s">
        <v>860</v>
      </c>
      <c r="D585" s="2">
        <v>41597</v>
      </c>
      <c r="E585">
        <f>IF(RIGHT(LeaversJoiners[[#This Row],[Code]],1)=")",1,0)</f>
        <v>0</v>
      </c>
      <c r="F585" t="str">
        <f>IF(LeaversJoiners[[#This Row],[Sütun1]]=1,LEFT(LeaversJoiners[[#This Row],[Code]],FIND("^",LeaversJoiners[[#This Row],[Code]])-1),LeaversJoiners[[#This Row],[Code]])</f>
        <v xml:space="preserve">VERUS.IS </v>
      </c>
    </row>
    <row r="586" spans="1:6" x14ac:dyDescent="0.25">
      <c r="A586" t="s">
        <v>29</v>
      </c>
      <c r="B586" t="s">
        <v>861</v>
      </c>
      <c r="C586" t="s">
        <v>862</v>
      </c>
      <c r="D586" s="2">
        <v>41534</v>
      </c>
      <c r="E586">
        <f>IF(RIGHT(LeaversJoiners[[#This Row],[Code]],1)=")",1,0)</f>
        <v>1</v>
      </c>
      <c r="F586" t="str">
        <f>IF(LeaversJoiners[[#This Row],[Sütun1]]=1,LEFT(LeaversJoiners[[#This Row],[Code]],FIND("^",LeaversJoiners[[#This Row],[Code]])-1),LeaversJoiners[[#This Row],[Code]])</f>
        <v>FENIS.IS</v>
      </c>
    </row>
    <row r="587" spans="1:6" x14ac:dyDescent="0.25">
      <c r="A587" t="s">
        <v>29</v>
      </c>
      <c r="B587" t="s">
        <v>829</v>
      </c>
      <c r="C587" t="s">
        <v>863</v>
      </c>
      <c r="D587" s="2">
        <v>41513</v>
      </c>
      <c r="E587">
        <f>IF(RIGHT(LeaversJoiners[[#This Row],[Code]],1)=")",1,0)</f>
        <v>1</v>
      </c>
      <c r="F587" t="str">
        <f>IF(LeaversJoiners[[#This Row],[Sütun1]]=1,LEFT(LeaversJoiners[[#This Row],[Code]],FIND("^",LeaversJoiners[[#This Row],[Code]])-1),LeaversJoiners[[#This Row],[Code]])</f>
        <v>KARKM.IS</v>
      </c>
    </row>
    <row r="588" spans="1:6" x14ac:dyDescent="0.25">
      <c r="A588" t="s">
        <v>4</v>
      </c>
      <c r="B588" t="s">
        <v>829</v>
      </c>
      <c r="C588" t="s">
        <v>830</v>
      </c>
      <c r="D588" s="2">
        <v>41513</v>
      </c>
      <c r="E588">
        <f>IF(RIGHT(LeaversJoiners[[#This Row],[Code]],1)=")",1,0)</f>
        <v>1</v>
      </c>
      <c r="F588" t="str">
        <f>IF(LeaversJoiners[[#This Row],[Sütun1]]=1,LEFT(LeaversJoiners[[#This Row],[Code]],FIND("^",LeaversJoiners[[#This Row],[Code]])-1),LeaversJoiners[[#This Row],[Code]])</f>
        <v>CLKHO.IS</v>
      </c>
    </row>
    <row r="589" spans="1:6" x14ac:dyDescent="0.25">
      <c r="A589" t="s">
        <v>4</v>
      </c>
      <c r="B589" t="s">
        <v>864</v>
      </c>
      <c r="C589" t="s">
        <v>865</v>
      </c>
      <c r="D589" s="2">
        <v>41502</v>
      </c>
      <c r="E589">
        <f>IF(RIGHT(LeaversJoiners[[#This Row],[Code]],1)=")",1,0)</f>
        <v>0</v>
      </c>
      <c r="F589" t="str">
        <f>IF(LeaversJoiners[[#This Row],[Sütun1]]=1,LEFT(LeaversJoiners[[#This Row],[Code]],FIND("^",LeaversJoiners[[#This Row],[Code]])-1),LeaversJoiners[[#This Row],[Code]])</f>
        <v xml:space="preserve">YGGYO.IS </v>
      </c>
    </row>
    <row r="590" spans="1:6" x14ac:dyDescent="0.25">
      <c r="A590" t="s">
        <v>4</v>
      </c>
      <c r="B590" t="s">
        <v>564</v>
      </c>
      <c r="C590" t="s">
        <v>565</v>
      </c>
      <c r="D590" s="2">
        <v>41492</v>
      </c>
      <c r="E590">
        <f>IF(RIGHT(LeaversJoiners[[#This Row],[Code]],1)=")",1,0)</f>
        <v>0</v>
      </c>
      <c r="F590" t="str">
        <f>IF(LeaversJoiners[[#This Row],[Sütun1]]=1,LEFT(LeaversJoiners[[#This Row],[Code]],FIND("^",LeaversJoiners[[#This Row],[Code]])-1),LeaversJoiners[[#This Row],[Code]])</f>
        <v xml:space="preserve">DIRIT.IS </v>
      </c>
    </row>
    <row r="591" spans="1:6" x14ac:dyDescent="0.25">
      <c r="A591" t="s">
        <v>4</v>
      </c>
      <c r="B591" t="s">
        <v>866</v>
      </c>
      <c r="C591" t="s">
        <v>867</v>
      </c>
      <c r="D591" s="2">
        <v>41479</v>
      </c>
      <c r="E591">
        <f>IF(RIGHT(LeaversJoiners[[#This Row],[Code]],1)=")",1,0)</f>
        <v>0</v>
      </c>
      <c r="F591" t="str">
        <f>IF(LeaversJoiners[[#This Row],[Sütun1]]=1,LEFT(LeaversJoiners[[#This Row],[Code]],FIND("^",LeaversJoiners[[#This Row],[Code]])-1),LeaversJoiners[[#This Row],[Code]])</f>
        <v xml:space="preserve">TURGG.IS </v>
      </c>
    </row>
    <row r="592" spans="1:6" x14ac:dyDescent="0.25">
      <c r="A592" t="s">
        <v>29</v>
      </c>
      <c r="B592" t="s">
        <v>530</v>
      </c>
      <c r="C592" t="s">
        <v>531</v>
      </c>
      <c r="D592" s="2">
        <v>41463</v>
      </c>
      <c r="E592">
        <f>IF(RIGHT(LeaversJoiners[[#This Row],[Code]],1)=")",1,0)</f>
        <v>0</v>
      </c>
      <c r="F592" t="str">
        <f>IF(LeaversJoiners[[#This Row],[Sütun1]]=1,LEFT(LeaversJoiners[[#This Row],[Code]],FIND("^",LeaversJoiners[[#This Row],[Code]])-1),LeaversJoiners[[#This Row],[Code]])</f>
        <v xml:space="preserve">FRIGO.IS </v>
      </c>
    </row>
    <row r="593" spans="1:6" x14ac:dyDescent="0.25">
      <c r="A593" t="s">
        <v>4</v>
      </c>
      <c r="B593" t="s">
        <v>769</v>
      </c>
      <c r="C593" t="s">
        <v>770</v>
      </c>
      <c r="D593" s="2">
        <v>41431</v>
      </c>
      <c r="E593">
        <f>IF(RIGHT(LeaversJoiners[[#This Row],[Code]],1)=")",1,0)</f>
        <v>1</v>
      </c>
      <c r="F593" t="str">
        <f>IF(LeaversJoiners[[#This Row],[Sütun1]]=1,LEFT(LeaversJoiners[[#This Row],[Code]],FIND("^",LeaversJoiners[[#This Row],[Code]])-1),LeaversJoiners[[#This Row],[Code]])</f>
        <v>AKPAZ.IS</v>
      </c>
    </row>
    <row r="594" spans="1:6" x14ac:dyDescent="0.25">
      <c r="A594" t="s">
        <v>4</v>
      </c>
      <c r="B594" t="s">
        <v>868</v>
      </c>
      <c r="C594" t="s">
        <v>869</v>
      </c>
      <c r="D594" s="2">
        <v>41428</v>
      </c>
      <c r="E594">
        <f>IF(RIGHT(LeaversJoiners[[#This Row],[Code]],1)=")",1,0)</f>
        <v>0</v>
      </c>
      <c r="F594" t="str">
        <f>IF(LeaversJoiners[[#This Row],[Sütun1]]=1,LEFT(LeaversJoiners[[#This Row],[Code]],FIND("^",LeaversJoiners[[#This Row],[Code]])-1),LeaversJoiners[[#This Row],[Code]])</f>
        <v xml:space="preserve">OSTIM.IS </v>
      </c>
    </row>
    <row r="595" spans="1:6" x14ac:dyDescent="0.25">
      <c r="A595" t="s">
        <v>4</v>
      </c>
      <c r="B595" t="s">
        <v>870</v>
      </c>
      <c r="C595" t="s">
        <v>871</v>
      </c>
      <c r="D595" s="2">
        <v>41417</v>
      </c>
      <c r="E595">
        <f>IF(RIGHT(LeaversJoiners[[#This Row],[Code]],1)=")",1,0)</f>
        <v>0</v>
      </c>
      <c r="F595" t="str">
        <f>IF(LeaversJoiners[[#This Row],[Sütun1]]=1,LEFT(LeaversJoiners[[#This Row],[Code]],FIND("^",LeaversJoiners[[#This Row],[Code]])-1),LeaversJoiners[[#This Row],[Code]])</f>
        <v xml:space="preserve">PAGYO.IS </v>
      </c>
    </row>
    <row r="596" spans="1:6" x14ac:dyDescent="0.25">
      <c r="A596" t="s">
        <v>29</v>
      </c>
      <c r="B596" t="s">
        <v>872</v>
      </c>
      <c r="C596" t="s">
        <v>873</v>
      </c>
      <c r="D596" s="2">
        <v>41416</v>
      </c>
      <c r="E596">
        <f>IF(RIGHT(LeaversJoiners[[#This Row],[Code]],1)=")",1,0)</f>
        <v>1</v>
      </c>
      <c r="F596" t="str">
        <f>IF(LeaversJoiners[[#This Row],[Sütun1]]=1,LEFT(LeaversJoiners[[#This Row],[Code]],FIND("^",LeaversJoiners[[#This Row],[Code]])-1),LeaversJoiners[[#This Row],[Code]])</f>
        <v>DMISH.IS</v>
      </c>
    </row>
    <row r="597" spans="1:6" x14ac:dyDescent="0.25">
      <c r="A597" t="s">
        <v>4</v>
      </c>
      <c r="B597" t="s">
        <v>874</v>
      </c>
      <c r="C597" t="s">
        <v>875</v>
      </c>
      <c r="D597" s="2">
        <v>41415</v>
      </c>
      <c r="E597">
        <f>IF(RIGHT(LeaversJoiners[[#This Row],[Code]],1)=")",1,0)</f>
        <v>0</v>
      </c>
      <c r="F597" t="str">
        <f>IF(LeaversJoiners[[#This Row],[Sütun1]]=1,LEFT(LeaversJoiners[[#This Row],[Code]],FIND("^",LeaversJoiners[[#This Row],[Code]])-1),LeaversJoiners[[#This Row],[Code]])</f>
        <v xml:space="preserve">ODAS.IS </v>
      </c>
    </row>
    <row r="598" spans="1:6" x14ac:dyDescent="0.25">
      <c r="A598" t="s">
        <v>4</v>
      </c>
      <c r="B598" t="s">
        <v>737</v>
      </c>
      <c r="C598" t="s">
        <v>738</v>
      </c>
      <c r="D598" s="2">
        <v>41397</v>
      </c>
      <c r="E598">
        <f>IF(RIGHT(LeaversJoiners[[#This Row],[Code]],1)=")",1,0)</f>
        <v>1</v>
      </c>
      <c r="F598" t="str">
        <f>IF(LeaversJoiners[[#This Row],[Sütun1]]=1,LEFT(LeaversJoiners[[#This Row],[Code]],FIND("^",LeaversJoiners[[#This Row],[Code]])-1),LeaversJoiners[[#This Row],[Code]])</f>
        <v>ROYAL.IS</v>
      </c>
    </row>
    <row r="599" spans="1:6" x14ac:dyDescent="0.25">
      <c r="A599" t="s">
        <v>4</v>
      </c>
      <c r="B599" t="s">
        <v>876</v>
      </c>
      <c r="C599" t="s">
        <v>877</v>
      </c>
      <c r="D599" s="2">
        <v>41390</v>
      </c>
      <c r="E599">
        <f>IF(RIGHT(LeaversJoiners[[#This Row],[Code]],1)=")",1,0)</f>
        <v>0</v>
      </c>
      <c r="F599" t="str">
        <f>IF(LeaversJoiners[[#This Row],[Sütun1]]=1,LEFT(LeaversJoiners[[#This Row],[Code]],FIND("^",LeaversJoiners[[#This Row],[Code]])-1),LeaversJoiners[[#This Row],[Code]])</f>
        <v xml:space="preserve">PGSUS.IS </v>
      </c>
    </row>
    <row r="600" spans="1:6" x14ac:dyDescent="0.25">
      <c r="A600" t="s">
        <v>4</v>
      </c>
      <c r="B600" t="s">
        <v>709</v>
      </c>
      <c r="C600" t="s">
        <v>710</v>
      </c>
      <c r="D600" s="2">
        <v>41388</v>
      </c>
      <c r="E600">
        <f>IF(RIGHT(LeaversJoiners[[#This Row],[Code]],1)=")",1,0)</f>
        <v>0</v>
      </c>
      <c r="F600" t="str">
        <f>IF(LeaversJoiners[[#This Row],[Sütun1]]=1,LEFT(LeaversJoiners[[#This Row],[Code]],FIND("^",LeaversJoiners[[#This Row],[Code]])-1),LeaversJoiners[[#This Row],[Code]])</f>
        <v xml:space="preserve">SRVGY.IS </v>
      </c>
    </row>
    <row r="601" spans="1:6" x14ac:dyDescent="0.25">
      <c r="A601" t="s">
        <v>29</v>
      </c>
      <c r="B601" t="s">
        <v>878</v>
      </c>
      <c r="C601" t="s">
        <v>879</v>
      </c>
      <c r="D601" s="2">
        <v>41362</v>
      </c>
      <c r="E601">
        <f>IF(RIGHT(LeaversJoiners[[#This Row],[Code]],1)=")",1,0)</f>
        <v>0</v>
      </c>
      <c r="F601" t="str">
        <f>IF(LeaversJoiners[[#This Row],[Sütun1]]=1,LEFT(LeaversJoiners[[#This Row],[Code]],FIND("^",LeaversJoiners[[#This Row],[Code]])-1),LeaversJoiners[[#This Row],[Code]])</f>
        <v xml:space="preserve">EKIZ.IS </v>
      </c>
    </row>
    <row r="602" spans="1:6" x14ac:dyDescent="0.25">
      <c r="A602" t="s">
        <v>29</v>
      </c>
      <c r="B602" t="s">
        <v>880</v>
      </c>
      <c r="C602" t="s">
        <v>881</v>
      </c>
      <c r="D602" s="2">
        <v>41362</v>
      </c>
      <c r="E602">
        <f>IF(RIGHT(LeaversJoiners[[#This Row],[Code]],1)=")",1,0)</f>
        <v>1</v>
      </c>
      <c r="F602" t="str">
        <f>IF(LeaversJoiners[[#This Row],[Sütun1]]=1,LEFT(LeaversJoiners[[#This Row],[Code]],FIND("^",LeaversJoiners[[#This Row],[Code]])-1),LeaversJoiners[[#This Row],[Code]])</f>
        <v>TRNSK.IS</v>
      </c>
    </row>
    <row r="603" spans="1:6" x14ac:dyDescent="0.25">
      <c r="A603" t="s">
        <v>29</v>
      </c>
      <c r="B603" t="s">
        <v>882</v>
      </c>
      <c r="C603" t="s">
        <v>883</v>
      </c>
      <c r="D603" s="2">
        <v>41332</v>
      </c>
      <c r="E603">
        <f>IF(RIGHT(LeaversJoiners[[#This Row],[Code]],1)=")",1,0)</f>
        <v>1</v>
      </c>
      <c r="F603" t="str">
        <f>IF(LeaversJoiners[[#This Row],[Sütun1]]=1,LEFT(LeaversJoiners[[#This Row],[Code]],FIND("^",LeaversJoiners[[#This Row],[Code]])-1),LeaversJoiners[[#This Row],[Code]])</f>
        <v>RANLO.IS</v>
      </c>
    </row>
    <row r="604" spans="1:6" x14ac:dyDescent="0.25">
      <c r="A604" t="s">
        <v>29</v>
      </c>
      <c r="B604" t="s">
        <v>884</v>
      </c>
      <c r="C604" t="s">
        <v>885</v>
      </c>
      <c r="D604" s="2">
        <v>41330</v>
      </c>
      <c r="E604">
        <f>IF(RIGHT(LeaversJoiners[[#This Row],[Code]],1)=")",1,0)</f>
        <v>1</v>
      </c>
      <c r="F604" t="str">
        <f>IF(LeaversJoiners[[#This Row],[Sütun1]]=1,LEFT(LeaversJoiners[[#This Row],[Code]],FIND("^",LeaversJoiners[[#This Row],[Code]])-1),LeaversJoiners[[#This Row],[Code]])</f>
        <v>GOLDS.IS</v>
      </c>
    </row>
    <row r="605" spans="1:6" x14ac:dyDescent="0.25">
      <c r="A605" t="s">
        <v>4</v>
      </c>
      <c r="B605" t="s">
        <v>886</v>
      </c>
      <c r="C605" t="s">
        <v>887</v>
      </c>
      <c r="D605" s="2">
        <v>41330</v>
      </c>
      <c r="E605">
        <f>IF(RIGHT(LeaversJoiners[[#This Row],[Code]],1)=")",1,0)</f>
        <v>0</v>
      </c>
      <c r="F605" t="str">
        <f>IF(LeaversJoiners[[#This Row],[Sütun1]]=1,LEFT(LeaversJoiners[[#This Row],[Code]],FIND("^",LeaversJoiners[[#This Row],[Code]])-1),LeaversJoiners[[#This Row],[Code]])</f>
        <v xml:space="preserve">HLGYO.IS </v>
      </c>
    </row>
    <row r="606" spans="1:6" x14ac:dyDescent="0.25">
      <c r="A606" t="s">
        <v>29</v>
      </c>
      <c r="B606" t="s">
        <v>270</v>
      </c>
      <c r="C606" t="s">
        <v>271</v>
      </c>
      <c r="D606" s="2">
        <v>41330</v>
      </c>
      <c r="E606">
        <f>IF(RIGHT(LeaversJoiners[[#This Row],[Code]],1)=")",1,0)</f>
        <v>0</v>
      </c>
      <c r="F606" t="str">
        <f>IF(LeaversJoiners[[#This Row],[Sütun1]]=1,LEFT(LeaversJoiners[[#This Row],[Code]],FIND("^",LeaversJoiners[[#This Row],[Code]])-1),LeaversJoiners[[#This Row],[Code]])</f>
        <v xml:space="preserve">MARKA.IS </v>
      </c>
    </row>
    <row r="607" spans="1:6" x14ac:dyDescent="0.25">
      <c r="A607" t="s">
        <v>29</v>
      </c>
      <c r="B607" t="s">
        <v>888</v>
      </c>
      <c r="C607" t="s">
        <v>889</v>
      </c>
      <c r="D607" s="2">
        <v>41330</v>
      </c>
      <c r="E607">
        <f>IF(RIGHT(LeaversJoiners[[#This Row],[Code]],1)=")",1,0)</f>
        <v>1</v>
      </c>
      <c r="F607" t="str">
        <f>IF(LeaversJoiners[[#This Row],[Sütun1]]=1,LEFT(LeaversJoiners[[#This Row],[Code]],FIND("^",LeaversJoiners[[#This Row],[Code]])-1),LeaversJoiners[[#This Row],[Code]])</f>
        <v>METAL.IS</v>
      </c>
    </row>
    <row r="608" spans="1:6" x14ac:dyDescent="0.25">
      <c r="A608" t="s">
        <v>29</v>
      </c>
      <c r="B608" t="s">
        <v>884</v>
      </c>
      <c r="C608" t="s">
        <v>885</v>
      </c>
      <c r="D608" s="2">
        <v>41316</v>
      </c>
      <c r="E608">
        <f>IF(RIGHT(LeaversJoiners[[#This Row],[Code]],1)=")",1,0)</f>
        <v>1</v>
      </c>
      <c r="F608" t="str">
        <f>IF(LeaversJoiners[[#This Row],[Sütun1]]=1,LEFT(LeaversJoiners[[#This Row],[Code]],FIND("^",LeaversJoiners[[#This Row],[Code]])-1),LeaversJoiners[[#This Row],[Code]])</f>
        <v>GOLDS.IS</v>
      </c>
    </row>
    <row r="609" spans="1:6" x14ac:dyDescent="0.25">
      <c r="A609" t="s">
        <v>29</v>
      </c>
      <c r="B609" t="s">
        <v>888</v>
      </c>
      <c r="C609" t="s">
        <v>889</v>
      </c>
      <c r="D609" s="2">
        <v>41316</v>
      </c>
      <c r="E609">
        <f>IF(RIGHT(LeaversJoiners[[#This Row],[Code]],1)=")",1,0)</f>
        <v>1</v>
      </c>
      <c r="F609" t="str">
        <f>IF(LeaversJoiners[[#This Row],[Sütun1]]=1,LEFT(LeaversJoiners[[#This Row],[Code]],FIND("^",LeaversJoiners[[#This Row],[Code]])-1),LeaversJoiners[[#This Row],[Code]])</f>
        <v>METAL.IS</v>
      </c>
    </row>
    <row r="610" spans="1:6" x14ac:dyDescent="0.25">
      <c r="A610" t="s">
        <v>29</v>
      </c>
      <c r="B610" t="s">
        <v>853</v>
      </c>
      <c r="C610" t="s">
        <v>890</v>
      </c>
      <c r="D610" s="2">
        <v>41311</v>
      </c>
      <c r="E610">
        <f>IF(RIGHT(LeaversJoiners[[#This Row],[Code]],1)=")",1,0)</f>
        <v>1</v>
      </c>
      <c r="F610" t="str">
        <f>IF(LeaversJoiners[[#This Row],[Sütun1]]=1,LEFT(LeaversJoiners[[#This Row],[Code]],FIND("^",LeaversJoiners[[#This Row],[Code]])-1),LeaversJoiners[[#This Row],[Code]])</f>
        <v>MEMS1.IS</v>
      </c>
    </row>
    <row r="611" spans="1:6" x14ac:dyDescent="0.25">
      <c r="A611" t="s">
        <v>29</v>
      </c>
      <c r="B611" t="s">
        <v>891</v>
      </c>
      <c r="C611" t="s">
        <v>892</v>
      </c>
      <c r="D611" s="2">
        <v>41309</v>
      </c>
      <c r="E611">
        <f>IF(RIGHT(LeaversJoiners[[#This Row],[Code]],1)=")",1,0)</f>
        <v>1</v>
      </c>
      <c r="F611" t="str">
        <f>IF(LeaversJoiners[[#This Row],[Sütun1]]=1,LEFT(LeaversJoiners[[#This Row],[Code]],FIND("^",LeaversJoiners[[#This Row],[Code]])-1),LeaversJoiners[[#This Row],[Code]])</f>
        <v>MANGO.IS</v>
      </c>
    </row>
    <row r="612" spans="1:6" x14ac:dyDescent="0.25">
      <c r="A612" t="s">
        <v>29</v>
      </c>
      <c r="B612" t="s">
        <v>893</v>
      </c>
      <c r="C612" t="s">
        <v>894</v>
      </c>
      <c r="D612" s="2">
        <v>41309</v>
      </c>
      <c r="E612">
        <f>IF(RIGHT(LeaversJoiners[[#This Row],[Code]],1)=")",1,0)</f>
        <v>1</v>
      </c>
      <c r="F612" t="str">
        <f>IF(LeaversJoiners[[#This Row],[Sütun1]]=1,LEFT(LeaversJoiners[[#This Row],[Code]],FIND("^",LeaversJoiners[[#This Row],[Code]])-1),LeaversJoiners[[#This Row],[Code]])</f>
        <v>SKPLC.IS</v>
      </c>
    </row>
    <row r="613" spans="1:6" x14ac:dyDescent="0.25">
      <c r="A613" t="s">
        <v>4</v>
      </c>
      <c r="B613" t="s">
        <v>895</v>
      </c>
      <c r="C613" t="s">
        <v>896</v>
      </c>
      <c r="D613" s="2">
        <v>41284</v>
      </c>
      <c r="E613">
        <f>IF(RIGHT(LeaversJoiners[[#This Row],[Code]],1)=")",1,0)</f>
        <v>0</v>
      </c>
      <c r="F613" t="str">
        <f>IF(LeaversJoiners[[#This Row],[Sütun1]]=1,LEFT(LeaversJoiners[[#This Row],[Code]],FIND("^",LeaversJoiners[[#This Row],[Code]])-1),LeaversJoiners[[#This Row],[Code]])</f>
        <v xml:space="preserve">AKSGY.IS </v>
      </c>
    </row>
    <row r="614" spans="1:6" x14ac:dyDescent="0.25">
      <c r="A614" t="s">
        <v>29</v>
      </c>
      <c r="B614" t="s">
        <v>897</v>
      </c>
      <c r="C614" t="s">
        <v>898</v>
      </c>
      <c r="D614" s="2">
        <v>41282</v>
      </c>
      <c r="E614">
        <f>IF(RIGHT(LeaversJoiners[[#This Row],[Code]],1)=")",1,0)</f>
        <v>1</v>
      </c>
      <c r="F614" t="str">
        <f>IF(LeaversJoiners[[#This Row],[Sütun1]]=1,LEFT(LeaversJoiners[[#This Row],[Code]],FIND("^",LeaversJoiners[[#This Row],[Code]])-1),LeaversJoiners[[#This Row],[Code]])</f>
        <v>AKALT.IS</v>
      </c>
    </row>
    <row r="615" spans="1:6" x14ac:dyDescent="0.25">
      <c r="A615" t="s">
        <v>4</v>
      </c>
      <c r="B615" t="s">
        <v>761</v>
      </c>
      <c r="C615" t="s">
        <v>762</v>
      </c>
      <c r="D615" s="2">
        <v>41281</v>
      </c>
      <c r="E615">
        <f>IF(RIGHT(LeaversJoiners[[#This Row],[Code]],1)=")",1,0)</f>
        <v>1</v>
      </c>
      <c r="F615" t="str">
        <f>IF(LeaversJoiners[[#This Row],[Sütun1]]=1,LEFT(LeaversJoiners[[#This Row],[Code]],FIND("^",LeaversJoiners[[#This Row],[Code]])-1),LeaversJoiners[[#This Row],[Code]])</f>
        <v>EGCEY.IS</v>
      </c>
    </row>
    <row r="616" spans="1:6" x14ac:dyDescent="0.25">
      <c r="A616" t="s">
        <v>4</v>
      </c>
      <c r="B616" t="s">
        <v>899</v>
      </c>
      <c r="C616" t="s">
        <v>900</v>
      </c>
      <c r="D616" s="2">
        <v>41248</v>
      </c>
      <c r="E616">
        <f>IF(RIGHT(LeaversJoiners[[#This Row],[Code]],1)=")",1,0)</f>
        <v>0</v>
      </c>
      <c r="F616" t="str">
        <f>IF(LeaversJoiners[[#This Row],[Sütun1]]=1,LEFT(LeaversJoiners[[#This Row],[Code]],FIND("^",LeaversJoiners[[#This Row],[Code]])-1),LeaversJoiners[[#This Row],[Code]])</f>
        <v xml:space="preserve">TMSN.IS </v>
      </c>
    </row>
    <row r="617" spans="1:6" x14ac:dyDescent="0.25">
      <c r="A617" t="s">
        <v>4</v>
      </c>
      <c r="B617" t="s">
        <v>901</v>
      </c>
      <c r="C617" t="s">
        <v>902</v>
      </c>
      <c r="D617" s="2">
        <v>41236</v>
      </c>
      <c r="E617">
        <f>IF(RIGHT(LeaversJoiners[[#This Row],[Code]],1)=")",1,0)</f>
        <v>0</v>
      </c>
      <c r="F617" t="str">
        <f>IF(LeaversJoiners[[#This Row],[Sütun1]]=1,LEFT(LeaversJoiners[[#This Row],[Code]],FIND("^",LeaversJoiners[[#This Row],[Code]])-1),LeaversJoiners[[#This Row],[Code]])</f>
        <v xml:space="preserve">BERA.IS </v>
      </c>
    </row>
    <row r="618" spans="1:6" x14ac:dyDescent="0.25">
      <c r="A618" t="s">
        <v>4</v>
      </c>
      <c r="B618" t="s">
        <v>903</v>
      </c>
      <c r="C618" t="s">
        <v>904</v>
      </c>
      <c r="D618" s="2">
        <v>41197</v>
      </c>
      <c r="E618">
        <f>IF(RIGHT(LeaversJoiners[[#This Row],[Code]],1)=")",1,0)</f>
        <v>0</v>
      </c>
      <c r="F618" t="str">
        <f>IF(LeaversJoiners[[#This Row],[Sütun1]]=1,LEFT(LeaversJoiners[[#This Row],[Code]],FIND("^",LeaversJoiners[[#This Row],[Code]])-1),LeaversJoiners[[#This Row],[Code]])</f>
        <v xml:space="preserve">ATAGY.IS </v>
      </c>
    </row>
    <row r="619" spans="1:6" x14ac:dyDescent="0.25">
      <c r="A619" t="s">
        <v>4</v>
      </c>
      <c r="B619" t="s">
        <v>647</v>
      </c>
      <c r="C619" t="s">
        <v>648</v>
      </c>
      <c r="D619" s="2">
        <v>41197</v>
      </c>
      <c r="E619">
        <f>IF(RIGHT(LeaversJoiners[[#This Row],[Code]],1)=")",1,0)</f>
        <v>1</v>
      </c>
      <c r="F619" t="str">
        <f>IF(LeaversJoiners[[#This Row],[Sütun1]]=1,LEFT(LeaversJoiners[[#This Row],[Code]],FIND("^",LeaversJoiners[[#This Row],[Code]])-1),LeaversJoiners[[#This Row],[Code]])</f>
        <v>ATPET.IS</v>
      </c>
    </row>
    <row r="620" spans="1:6" x14ac:dyDescent="0.25">
      <c r="A620" t="s">
        <v>29</v>
      </c>
      <c r="B620" t="s">
        <v>905</v>
      </c>
      <c r="C620" t="s">
        <v>906</v>
      </c>
      <c r="D620" s="2">
        <v>41187</v>
      </c>
      <c r="E620">
        <f>IF(RIGHT(LeaversJoiners[[#This Row],[Code]],1)=")",1,0)</f>
        <v>1</v>
      </c>
      <c r="F620" t="str">
        <f>IF(LeaversJoiners[[#This Row],[Sütun1]]=1,LEFT(LeaversJoiners[[#This Row],[Code]],FIND("^",LeaversJoiners[[#This Row],[Code]])-1),LeaversJoiners[[#This Row],[Code]])</f>
        <v>ACIBD.IS</v>
      </c>
    </row>
    <row r="621" spans="1:6" x14ac:dyDescent="0.25">
      <c r="A621" t="s">
        <v>4</v>
      </c>
      <c r="B621" t="s">
        <v>611</v>
      </c>
      <c r="C621" t="s">
        <v>612</v>
      </c>
      <c r="D621" s="2">
        <v>41151</v>
      </c>
      <c r="E621">
        <f>IF(RIGHT(LeaversJoiners[[#This Row],[Code]],1)=")",1,0)</f>
        <v>0</v>
      </c>
      <c r="F621" t="str">
        <f>IF(LeaversJoiners[[#This Row],[Sütun1]]=1,LEFT(LeaversJoiners[[#This Row],[Code]],FIND("^",LeaversJoiners[[#This Row],[Code]])-1),LeaversJoiners[[#This Row],[Code]])</f>
        <v xml:space="preserve">TRHOL.IS </v>
      </c>
    </row>
    <row r="622" spans="1:6" x14ac:dyDescent="0.25">
      <c r="A622" t="s">
        <v>4</v>
      </c>
      <c r="B622" t="s">
        <v>907</v>
      </c>
      <c r="C622" t="s">
        <v>908</v>
      </c>
      <c r="D622" s="2">
        <v>41150</v>
      </c>
      <c r="E622">
        <f>IF(RIGHT(LeaversJoiners[[#This Row],[Code]],1)=")",1,0)</f>
        <v>0</v>
      </c>
      <c r="F622" t="str">
        <f>IF(LeaversJoiners[[#This Row],[Sütun1]]=1,LEFT(LeaversJoiners[[#This Row],[Code]],FIND("^",LeaversJoiners[[#This Row],[Code]])-1),LeaversJoiners[[#This Row],[Code]])</f>
        <v xml:space="preserve">JANTS.IS </v>
      </c>
    </row>
    <row r="623" spans="1:6" x14ac:dyDescent="0.25">
      <c r="A623" t="s">
        <v>4</v>
      </c>
      <c r="B623" t="s">
        <v>803</v>
      </c>
      <c r="C623" t="s">
        <v>804</v>
      </c>
      <c r="D623" s="2">
        <v>41131</v>
      </c>
      <c r="E623">
        <f>IF(RIGHT(LeaversJoiners[[#This Row],[Code]],1)=")",1,0)</f>
        <v>0</v>
      </c>
      <c r="F623" t="str">
        <f>IF(LeaversJoiners[[#This Row],[Sütun1]]=1,LEFT(LeaversJoiners[[#This Row],[Code]],FIND("^",LeaversJoiners[[#This Row],[Code]])-1),LeaversJoiners[[#This Row],[Code]])</f>
        <v xml:space="preserve">ATSYH.IS </v>
      </c>
    </row>
    <row r="624" spans="1:6" x14ac:dyDescent="0.25">
      <c r="A624" t="s">
        <v>4</v>
      </c>
      <c r="B624" t="s">
        <v>735</v>
      </c>
      <c r="C624" t="s">
        <v>736</v>
      </c>
      <c r="D624" s="2">
        <v>41128</v>
      </c>
      <c r="E624">
        <f>IF(RIGHT(LeaversJoiners[[#This Row],[Code]],1)=")",1,0)</f>
        <v>1</v>
      </c>
      <c r="F624" t="str">
        <f>IF(LeaversJoiners[[#This Row],[Sütun1]]=1,LEFT(LeaversJoiners[[#This Row],[Code]],FIND("^",LeaversJoiners[[#This Row],[Code]])-1),LeaversJoiners[[#This Row],[Code]])</f>
        <v>KRATL.IS</v>
      </c>
    </row>
    <row r="625" spans="1:6" x14ac:dyDescent="0.25">
      <c r="A625" t="s">
        <v>4</v>
      </c>
      <c r="B625" t="s">
        <v>270</v>
      </c>
      <c r="C625" t="s">
        <v>271</v>
      </c>
      <c r="D625" s="2">
        <v>41127</v>
      </c>
      <c r="E625">
        <f>IF(RIGHT(LeaversJoiners[[#This Row],[Code]],1)=")",1,0)</f>
        <v>0</v>
      </c>
      <c r="F625" t="str">
        <f>IF(LeaversJoiners[[#This Row],[Sütun1]]=1,LEFT(LeaversJoiners[[#This Row],[Code]],FIND("^",LeaversJoiners[[#This Row],[Code]])-1),LeaversJoiners[[#This Row],[Code]])</f>
        <v xml:space="preserve">MARKA.IS </v>
      </c>
    </row>
    <row r="626" spans="1:6" x14ac:dyDescent="0.25">
      <c r="A626" t="s">
        <v>4</v>
      </c>
      <c r="B626" t="s">
        <v>615</v>
      </c>
      <c r="C626" t="s">
        <v>616</v>
      </c>
      <c r="D626" s="2">
        <v>41127</v>
      </c>
      <c r="E626">
        <f>IF(RIGHT(LeaversJoiners[[#This Row],[Code]],1)=")",1,0)</f>
        <v>0</v>
      </c>
      <c r="F626" t="str">
        <f>IF(LeaversJoiners[[#This Row],[Sütun1]]=1,LEFT(LeaversJoiners[[#This Row],[Code]],FIND("^",LeaversJoiners[[#This Row],[Code]])-1),LeaversJoiners[[#This Row],[Code]])</f>
        <v xml:space="preserve">ULAS.IS </v>
      </c>
    </row>
    <row r="627" spans="1:6" x14ac:dyDescent="0.25">
      <c r="A627" t="s">
        <v>4</v>
      </c>
      <c r="B627" t="s">
        <v>909</v>
      </c>
      <c r="C627" t="s">
        <v>910</v>
      </c>
      <c r="D627" s="2">
        <v>41120</v>
      </c>
      <c r="E627">
        <f>IF(RIGHT(LeaversJoiners[[#This Row],[Code]],1)=")",1,0)</f>
        <v>0</v>
      </c>
      <c r="F627" t="str">
        <f>IF(LeaversJoiners[[#This Row],[Sütun1]]=1,LEFT(LeaversJoiners[[#This Row],[Code]],FIND("^",LeaversJoiners[[#This Row],[Code]])-1),LeaversJoiners[[#This Row],[Code]])</f>
        <v xml:space="preserve">PRZMA.IS </v>
      </c>
    </row>
    <row r="628" spans="1:6" x14ac:dyDescent="0.25">
      <c r="A628" t="s">
        <v>4</v>
      </c>
      <c r="B628" t="s">
        <v>767</v>
      </c>
      <c r="C628" t="s">
        <v>768</v>
      </c>
      <c r="D628" s="2">
        <v>41117</v>
      </c>
      <c r="E628">
        <f>IF(RIGHT(LeaversJoiners[[#This Row],[Code]],1)=")",1,0)</f>
        <v>0</v>
      </c>
      <c r="F628" t="str">
        <f>IF(LeaversJoiners[[#This Row],[Sütun1]]=1,LEFT(LeaversJoiners[[#This Row],[Code]],FIND("^",LeaversJoiners[[#This Row],[Code]])-1),LeaversJoiners[[#This Row],[Code]])</f>
        <v xml:space="preserve">CASA.IS </v>
      </c>
    </row>
    <row r="629" spans="1:6" x14ac:dyDescent="0.25">
      <c r="A629" t="s">
        <v>29</v>
      </c>
      <c r="B629" t="s">
        <v>911</v>
      </c>
      <c r="C629" t="s">
        <v>912</v>
      </c>
      <c r="D629" s="2">
        <v>41113</v>
      </c>
      <c r="E629">
        <f>IF(RIGHT(LeaversJoiners[[#This Row],[Code]],1)=")",1,0)</f>
        <v>1</v>
      </c>
      <c r="F629" t="str">
        <f>IF(LeaversJoiners[[#This Row],[Sütun1]]=1,LEFT(LeaversJoiners[[#This Row],[Code]],FIND("^",LeaversJoiners[[#This Row],[Code]])-1),LeaversJoiners[[#This Row],[Code]])</f>
        <v>YKFIN.IS</v>
      </c>
    </row>
    <row r="630" spans="1:6" x14ac:dyDescent="0.25">
      <c r="A630" t="s">
        <v>4</v>
      </c>
      <c r="B630" t="s">
        <v>913</v>
      </c>
      <c r="C630" t="s">
        <v>914</v>
      </c>
      <c r="D630" s="2">
        <v>41096</v>
      </c>
      <c r="E630">
        <f>IF(RIGHT(LeaversJoiners[[#This Row],[Code]],1)=")",1,0)</f>
        <v>0</v>
      </c>
      <c r="F630" t="str">
        <f>IF(LeaversJoiners[[#This Row],[Sütun1]]=1,LEFT(LeaversJoiners[[#This Row],[Code]],FIND("^",LeaversJoiners[[#This Row],[Code]])-1),LeaversJoiners[[#This Row],[Code]])</f>
        <v xml:space="preserve">ACSEL.IS </v>
      </c>
    </row>
    <row r="631" spans="1:6" x14ac:dyDescent="0.25">
      <c r="A631" t="s">
        <v>4</v>
      </c>
      <c r="B631" t="s">
        <v>915</v>
      </c>
      <c r="C631" t="s">
        <v>916</v>
      </c>
      <c r="D631" s="2">
        <v>41093</v>
      </c>
      <c r="E631">
        <f>IF(RIGHT(LeaversJoiners[[#This Row],[Code]],1)=")",1,0)</f>
        <v>0</v>
      </c>
      <c r="F631" t="str">
        <f>IF(LeaversJoiners[[#This Row],[Sütun1]]=1,LEFT(LeaversJoiners[[#This Row],[Code]],FIND("^",LeaversJoiners[[#This Row],[Code]])-1),LeaversJoiners[[#This Row],[Code]])</f>
        <v xml:space="preserve">AKYHO.IS </v>
      </c>
    </row>
    <row r="632" spans="1:6" x14ac:dyDescent="0.25">
      <c r="A632" t="s">
        <v>4</v>
      </c>
      <c r="B632" t="s">
        <v>917</v>
      </c>
      <c r="C632" t="s">
        <v>918</v>
      </c>
      <c r="D632" s="2">
        <v>41089</v>
      </c>
      <c r="E632">
        <f>IF(RIGHT(LeaversJoiners[[#This Row],[Code]],1)=")",1,0)</f>
        <v>0</v>
      </c>
      <c r="F632" t="str">
        <f>IF(LeaversJoiners[[#This Row],[Sütun1]]=1,LEFT(LeaversJoiners[[#This Row],[Code]],FIND("^",LeaversJoiners[[#This Row],[Code]])-1),LeaversJoiners[[#This Row],[Code]])</f>
        <v xml:space="preserve">FLAP.IS </v>
      </c>
    </row>
    <row r="633" spans="1:6" x14ac:dyDescent="0.25">
      <c r="A633" t="s">
        <v>29</v>
      </c>
      <c r="B633" t="s">
        <v>909</v>
      </c>
      <c r="C633" t="s">
        <v>910</v>
      </c>
      <c r="D633" s="2">
        <v>41088</v>
      </c>
      <c r="E633">
        <f>IF(RIGHT(LeaversJoiners[[#This Row],[Code]],1)=")",1,0)</f>
        <v>0</v>
      </c>
      <c r="F633" t="str">
        <f>IF(LeaversJoiners[[#This Row],[Sütun1]]=1,LEFT(LeaversJoiners[[#This Row],[Code]],FIND("^",LeaversJoiners[[#This Row],[Code]])-1),LeaversJoiners[[#This Row],[Code]])</f>
        <v xml:space="preserve">PRZMA.IS </v>
      </c>
    </row>
    <row r="634" spans="1:6" x14ac:dyDescent="0.25">
      <c r="A634" t="s">
        <v>4</v>
      </c>
      <c r="B634" t="s">
        <v>582</v>
      </c>
      <c r="C634" t="s">
        <v>583</v>
      </c>
      <c r="D634" s="2">
        <v>41068</v>
      </c>
      <c r="E634">
        <f>IF(RIGHT(LeaversJoiners[[#This Row],[Code]],1)=")",1,0)</f>
        <v>0</v>
      </c>
      <c r="F634" t="str">
        <f>IF(LeaversJoiners[[#This Row],[Sütun1]]=1,LEFT(LeaversJoiners[[#This Row],[Code]],FIND("^",LeaversJoiners[[#This Row],[Code]])-1),LeaversJoiners[[#This Row],[Code]])</f>
        <v xml:space="preserve">HUBVC.IS </v>
      </c>
    </row>
    <row r="635" spans="1:6" x14ac:dyDescent="0.25">
      <c r="A635" t="s">
        <v>4</v>
      </c>
      <c r="B635" t="s">
        <v>919</v>
      </c>
      <c r="C635" t="s">
        <v>920</v>
      </c>
      <c r="D635" s="2">
        <v>41068</v>
      </c>
      <c r="E635">
        <f>IF(RIGHT(LeaversJoiners[[#This Row],[Code]],1)=")",1,0)</f>
        <v>0</v>
      </c>
      <c r="F635" t="str">
        <f>IF(LeaversJoiners[[#This Row],[Sütun1]]=1,LEFT(LeaversJoiners[[#This Row],[Code]],FIND("^",LeaversJoiners[[#This Row],[Code]])-1),LeaversJoiners[[#This Row],[Code]])</f>
        <v xml:space="preserve">TGSAS.IS </v>
      </c>
    </row>
    <row r="636" spans="1:6" x14ac:dyDescent="0.25">
      <c r="A636" t="s">
        <v>4</v>
      </c>
      <c r="B636" t="s">
        <v>827</v>
      </c>
      <c r="C636" t="s">
        <v>828</v>
      </c>
      <c r="D636" s="2">
        <v>41064</v>
      </c>
      <c r="E636">
        <f>IF(RIGHT(LeaversJoiners[[#This Row],[Code]],1)=")",1,0)</f>
        <v>1</v>
      </c>
      <c r="F636" t="str">
        <f>IF(LeaversJoiners[[#This Row],[Sütun1]]=1,LEFT(LeaversJoiners[[#This Row],[Code]],FIND("^",LeaversJoiners[[#This Row],[Code]])-1),LeaversJoiners[[#This Row],[Code]])</f>
        <v>ARTOG.IS</v>
      </c>
    </row>
    <row r="637" spans="1:6" x14ac:dyDescent="0.25">
      <c r="A637" t="s">
        <v>29</v>
      </c>
      <c r="B637" t="s">
        <v>582</v>
      </c>
      <c r="C637" t="s">
        <v>583</v>
      </c>
      <c r="D637" s="2">
        <v>41064</v>
      </c>
      <c r="E637">
        <f>IF(RIGHT(LeaversJoiners[[#This Row],[Code]],1)=")",1,0)</f>
        <v>0</v>
      </c>
      <c r="F637" t="str">
        <f>IF(LeaversJoiners[[#This Row],[Sütun1]]=1,LEFT(LeaversJoiners[[#This Row],[Code]],FIND("^",LeaversJoiners[[#This Row],[Code]])-1),LeaversJoiners[[#This Row],[Code]])</f>
        <v xml:space="preserve">HUBVC.IS </v>
      </c>
    </row>
    <row r="638" spans="1:6" x14ac:dyDescent="0.25">
      <c r="A638" t="s">
        <v>4</v>
      </c>
      <c r="B638" t="s">
        <v>793</v>
      </c>
      <c r="C638" t="s">
        <v>794</v>
      </c>
      <c r="D638" s="2">
        <v>41064</v>
      </c>
      <c r="E638">
        <f>IF(RIGHT(LeaversJoiners[[#This Row],[Code]],1)=")",1,0)</f>
        <v>1</v>
      </c>
      <c r="F638" t="str">
        <f>IF(LeaversJoiners[[#This Row],[Sütun1]]=1,LEFT(LeaversJoiners[[#This Row],[Code]],FIND("^",LeaversJoiners[[#This Row],[Code]])-1),LeaversJoiners[[#This Row],[Code]])</f>
        <v>TARAF.IS</v>
      </c>
    </row>
    <row r="639" spans="1:6" x14ac:dyDescent="0.25">
      <c r="A639" t="s">
        <v>4</v>
      </c>
      <c r="B639" t="s">
        <v>921</v>
      </c>
      <c r="C639" t="s">
        <v>922</v>
      </c>
      <c r="D639" s="2">
        <v>41053</v>
      </c>
      <c r="E639">
        <f>IF(RIGHT(LeaversJoiners[[#This Row],[Code]],1)=")",1,0)</f>
        <v>0</v>
      </c>
      <c r="F639" t="str">
        <f>IF(LeaversJoiners[[#This Row],[Sütun1]]=1,LEFT(LeaversJoiners[[#This Row],[Code]],FIND("^",LeaversJoiners[[#This Row],[Code]])-1),LeaversJoiners[[#This Row],[Code]])</f>
        <v xml:space="preserve">POLHO.IS </v>
      </c>
    </row>
    <row r="640" spans="1:6" x14ac:dyDescent="0.25">
      <c r="A640" t="s">
        <v>4</v>
      </c>
      <c r="B640" t="s">
        <v>923</v>
      </c>
      <c r="C640" t="s">
        <v>924</v>
      </c>
      <c r="D640" s="2">
        <v>41051</v>
      </c>
      <c r="E640">
        <f>IF(RIGHT(LeaversJoiners[[#This Row],[Code]],1)=")",1,0)</f>
        <v>0</v>
      </c>
      <c r="F640" t="str">
        <f>IF(LeaversJoiners[[#This Row],[Sütun1]]=1,LEFT(LeaversJoiners[[#This Row],[Code]],FIND("^",LeaversJoiners[[#This Row],[Code]])-1),LeaversJoiners[[#This Row],[Code]])</f>
        <v xml:space="preserve">OZKGY.IS </v>
      </c>
    </row>
    <row r="641" spans="1:6" x14ac:dyDescent="0.25">
      <c r="A641" t="s">
        <v>4</v>
      </c>
      <c r="B641" t="s">
        <v>925</v>
      </c>
      <c r="C641" t="s">
        <v>926</v>
      </c>
      <c r="D641" s="2">
        <v>41051</v>
      </c>
      <c r="E641">
        <f>IF(RIGHT(LeaversJoiners[[#This Row],[Code]],1)=")",1,0)</f>
        <v>0</v>
      </c>
      <c r="F641" t="str">
        <f>IF(LeaversJoiners[[#This Row],[Sütun1]]=1,LEFT(LeaversJoiners[[#This Row],[Code]],FIND("^",LeaversJoiners[[#This Row],[Code]])-1),LeaversJoiners[[#This Row],[Code]])</f>
        <v xml:space="preserve">TKNSA.IS </v>
      </c>
    </row>
    <row r="642" spans="1:6" x14ac:dyDescent="0.25">
      <c r="A642" t="s">
        <v>4</v>
      </c>
      <c r="B642" t="s">
        <v>927</v>
      </c>
      <c r="C642" t="s">
        <v>928</v>
      </c>
      <c r="D642" s="2">
        <v>41044</v>
      </c>
      <c r="E642">
        <f>IF(RIGHT(LeaversJoiners[[#This Row],[Code]],1)=")",1,0)</f>
        <v>0</v>
      </c>
      <c r="F642" t="str">
        <f>IF(LeaversJoiners[[#This Row],[Sütun1]]=1,LEFT(LeaversJoiners[[#This Row],[Code]],FIND("^",LeaversJoiners[[#This Row],[Code]])-1),LeaversJoiners[[#This Row],[Code]])</f>
        <v xml:space="preserve">ORGE.IS </v>
      </c>
    </row>
    <row r="643" spans="1:6" x14ac:dyDescent="0.25">
      <c r="A643" t="s">
        <v>4</v>
      </c>
      <c r="B643" t="s">
        <v>582</v>
      </c>
      <c r="C643" t="s">
        <v>583</v>
      </c>
      <c r="D643" s="2">
        <v>41037</v>
      </c>
      <c r="E643">
        <f>IF(RIGHT(LeaversJoiners[[#This Row],[Code]],1)=")",1,0)</f>
        <v>0</v>
      </c>
      <c r="F643" t="str">
        <f>IF(LeaversJoiners[[#This Row],[Sütun1]]=1,LEFT(LeaversJoiners[[#This Row],[Code]],FIND("^",LeaversJoiners[[#This Row],[Code]])-1),LeaversJoiners[[#This Row],[Code]])</f>
        <v xml:space="preserve">HUBVC.IS </v>
      </c>
    </row>
    <row r="644" spans="1:6" x14ac:dyDescent="0.25">
      <c r="A644" t="s">
        <v>4</v>
      </c>
      <c r="B644" t="s">
        <v>723</v>
      </c>
      <c r="C644" t="s">
        <v>724</v>
      </c>
      <c r="D644" s="2">
        <v>41033</v>
      </c>
      <c r="E644">
        <f>IF(RIGHT(LeaversJoiners[[#This Row],[Code]],1)=")",1,0)</f>
        <v>0</v>
      </c>
      <c r="F644" t="str">
        <f>IF(LeaversJoiners[[#This Row],[Sütun1]]=1,LEFT(LeaversJoiners[[#This Row],[Code]],FIND("^",LeaversJoiners[[#This Row],[Code]])-1),LeaversJoiners[[#This Row],[Code]])</f>
        <v xml:space="preserve">OYLUM.IS </v>
      </c>
    </row>
    <row r="645" spans="1:6" x14ac:dyDescent="0.25">
      <c r="A645" t="s">
        <v>29</v>
      </c>
      <c r="B645" t="s">
        <v>793</v>
      </c>
      <c r="C645" t="s">
        <v>794</v>
      </c>
      <c r="D645" s="2">
        <v>41033</v>
      </c>
      <c r="E645">
        <f>IF(RIGHT(LeaversJoiners[[#This Row],[Code]],1)=")",1,0)</f>
        <v>1</v>
      </c>
      <c r="F645" t="str">
        <f>IF(LeaversJoiners[[#This Row],[Sütun1]]=1,LEFT(LeaversJoiners[[#This Row],[Code]],FIND("^",LeaversJoiners[[#This Row],[Code]])-1),LeaversJoiners[[#This Row],[Code]])</f>
        <v>TARAF.IS</v>
      </c>
    </row>
    <row r="646" spans="1:6" x14ac:dyDescent="0.25">
      <c r="A646" t="s">
        <v>4</v>
      </c>
      <c r="B646" t="s">
        <v>929</v>
      </c>
      <c r="C646" t="s">
        <v>930</v>
      </c>
      <c r="D646" s="2">
        <v>41029</v>
      </c>
      <c r="E646">
        <f>IF(RIGHT(LeaversJoiners[[#This Row],[Code]],1)=")",1,0)</f>
        <v>0</v>
      </c>
      <c r="F646" t="str">
        <f>IF(LeaversJoiners[[#This Row],[Sütun1]]=1,LEFT(LeaversJoiners[[#This Row],[Code]],FIND("^",LeaversJoiners[[#This Row],[Code]])-1),LeaversJoiners[[#This Row],[Code]])</f>
        <v xml:space="preserve">BRKSN.IS </v>
      </c>
    </row>
    <row r="647" spans="1:6" x14ac:dyDescent="0.25">
      <c r="A647" t="s">
        <v>4</v>
      </c>
      <c r="B647" t="s">
        <v>721</v>
      </c>
      <c r="C647" t="s">
        <v>722</v>
      </c>
      <c r="D647" s="2">
        <v>41029</v>
      </c>
      <c r="E647">
        <f>IF(RIGHT(LeaversJoiners[[#This Row],[Code]],1)=")",1,0)</f>
        <v>0</v>
      </c>
      <c r="F647" t="str">
        <f>IF(LeaversJoiners[[#This Row],[Sütun1]]=1,LEFT(LeaversJoiners[[#This Row],[Code]],FIND("^",LeaversJoiners[[#This Row],[Code]])-1),LeaversJoiners[[#This Row],[Code]])</f>
        <v xml:space="preserve">NIBAS.IS </v>
      </c>
    </row>
    <row r="648" spans="1:6" x14ac:dyDescent="0.25">
      <c r="A648" t="s">
        <v>29</v>
      </c>
      <c r="B648" t="s">
        <v>721</v>
      </c>
      <c r="C648" t="s">
        <v>722</v>
      </c>
      <c r="D648" s="2">
        <v>41015</v>
      </c>
      <c r="E648">
        <f>IF(RIGHT(LeaversJoiners[[#This Row],[Code]],1)=")",1,0)</f>
        <v>0</v>
      </c>
      <c r="F648" t="str">
        <f>IF(LeaversJoiners[[#This Row],[Sütun1]]=1,LEFT(LeaversJoiners[[#This Row],[Code]],FIND("^",LeaversJoiners[[#This Row],[Code]])-1),LeaversJoiners[[#This Row],[Code]])</f>
        <v xml:space="preserve">NIBAS.IS </v>
      </c>
    </row>
    <row r="649" spans="1:6" x14ac:dyDescent="0.25">
      <c r="A649" t="s">
        <v>29</v>
      </c>
      <c r="B649" t="s">
        <v>923</v>
      </c>
      <c r="C649" t="s">
        <v>924</v>
      </c>
      <c r="D649" s="2">
        <v>41015</v>
      </c>
      <c r="E649">
        <f>IF(RIGHT(LeaversJoiners[[#This Row],[Code]],1)=")",1,0)</f>
        <v>0</v>
      </c>
      <c r="F649" t="str">
        <f>IF(LeaversJoiners[[#This Row],[Sütun1]]=1,LEFT(LeaversJoiners[[#This Row],[Code]],FIND("^",LeaversJoiners[[#This Row],[Code]])-1),LeaversJoiners[[#This Row],[Code]])</f>
        <v xml:space="preserve">OZKGY.IS </v>
      </c>
    </row>
    <row r="650" spans="1:6" x14ac:dyDescent="0.25">
      <c r="A650" t="s">
        <v>29</v>
      </c>
      <c r="B650" t="s">
        <v>793</v>
      </c>
      <c r="C650" t="s">
        <v>794</v>
      </c>
      <c r="D650" s="2">
        <v>41015</v>
      </c>
      <c r="E650">
        <f>IF(RIGHT(LeaversJoiners[[#This Row],[Code]],1)=")",1,0)</f>
        <v>1</v>
      </c>
      <c r="F650" t="str">
        <f>IF(LeaversJoiners[[#This Row],[Sütun1]]=1,LEFT(LeaversJoiners[[#This Row],[Code]],FIND("^",LeaversJoiners[[#This Row],[Code]])-1),LeaversJoiners[[#This Row],[Code]])</f>
        <v>TARAF.IS</v>
      </c>
    </row>
    <row r="651" spans="1:6" x14ac:dyDescent="0.25">
      <c r="A651" t="s">
        <v>4</v>
      </c>
      <c r="B651" t="s">
        <v>931</v>
      </c>
      <c r="C651" t="s">
        <v>932</v>
      </c>
      <c r="D651" s="2">
        <v>41001</v>
      </c>
      <c r="E651">
        <f>IF(RIGHT(LeaversJoiners[[#This Row],[Code]],1)=")",1,0)</f>
        <v>0</v>
      </c>
      <c r="F651" t="str">
        <f>IF(LeaversJoiners[[#This Row],[Sütun1]]=1,LEFT(LeaversJoiners[[#This Row],[Code]],FIND("^",LeaversJoiners[[#This Row],[Code]])-1),LeaversJoiners[[#This Row],[Code]])</f>
        <v xml:space="preserve">IEYHO.IS </v>
      </c>
    </row>
    <row r="652" spans="1:6" x14ac:dyDescent="0.25">
      <c r="A652" t="s">
        <v>29</v>
      </c>
      <c r="B652" t="s">
        <v>721</v>
      </c>
      <c r="C652" t="s">
        <v>722</v>
      </c>
      <c r="D652" s="2">
        <v>41001</v>
      </c>
      <c r="E652">
        <f>IF(RIGHT(LeaversJoiners[[#This Row],[Code]],1)=")",1,0)</f>
        <v>0</v>
      </c>
      <c r="F652" t="str">
        <f>IF(LeaversJoiners[[#This Row],[Sütun1]]=1,LEFT(LeaversJoiners[[#This Row],[Code]],FIND("^",LeaversJoiners[[#This Row],[Code]])-1),LeaversJoiners[[#This Row],[Code]])</f>
        <v xml:space="preserve">NIBAS.IS </v>
      </c>
    </row>
    <row r="653" spans="1:6" x14ac:dyDescent="0.25">
      <c r="A653" t="s">
        <v>29</v>
      </c>
      <c r="B653" t="s">
        <v>923</v>
      </c>
      <c r="C653" t="s">
        <v>924</v>
      </c>
      <c r="D653" s="2">
        <v>41001</v>
      </c>
      <c r="E653">
        <f>IF(RIGHT(LeaversJoiners[[#This Row],[Code]],1)=")",1,0)</f>
        <v>0</v>
      </c>
      <c r="F653" t="str">
        <f>IF(LeaversJoiners[[#This Row],[Sütun1]]=1,LEFT(LeaversJoiners[[#This Row],[Code]],FIND("^",LeaversJoiners[[#This Row],[Code]])-1),LeaversJoiners[[#This Row],[Code]])</f>
        <v xml:space="preserve">OZKGY.IS </v>
      </c>
    </row>
    <row r="654" spans="1:6" x14ac:dyDescent="0.25">
      <c r="A654" t="s">
        <v>29</v>
      </c>
      <c r="B654" t="s">
        <v>793</v>
      </c>
      <c r="C654" t="s">
        <v>794</v>
      </c>
      <c r="D654" s="2">
        <v>41001</v>
      </c>
      <c r="E654">
        <f>IF(RIGHT(LeaversJoiners[[#This Row],[Code]],1)=")",1,0)</f>
        <v>1</v>
      </c>
      <c r="F654" t="str">
        <f>IF(LeaversJoiners[[#This Row],[Sütun1]]=1,LEFT(LeaversJoiners[[#This Row],[Code]],FIND("^",LeaversJoiners[[#This Row],[Code]])-1),LeaversJoiners[[#This Row],[Code]])</f>
        <v>TARAF.IS</v>
      </c>
    </row>
    <row r="655" spans="1:6" x14ac:dyDescent="0.25">
      <c r="A655" t="s">
        <v>29</v>
      </c>
      <c r="B655" t="s">
        <v>931</v>
      </c>
      <c r="C655" t="s">
        <v>932</v>
      </c>
      <c r="D655" s="2">
        <v>40981</v>
      </c>
      <c r="E655">
        <f>IF(RIGHT(LeaversJoiners[[#This Row],[Code]],1)=")",1,0)</f>
        <v>0</v>
      </c>
      <c r="F655" t="str">
        <f>IF(LeaversJoiners[[#This Row],[Sütun1]]=1,LEFT(LeaversJoiners[[#This Row],[Code]],FIND("^",LeaversJoiners[[#This Row],[Code]])-1),LeaversJoiners[[#This Row],[Code]])</f>
        <v xml:space="preserve">IEYHO.IS </v>
      </c>
    </row>
    <row r="656" spans="1:6" x14ac:dyDescent="0.25">
      <c r="A656" t="s">
        <v>4</v>
      </c>
      <c r="B656" t="s">
        <v>923</v>
      </c>
      <c r="C656" t="s">
        <v>924</v>
      </c>
      <c r="D656" s="2">
        <v>40954</v>
      </c>
      <c r="E656">
        <f>IF(RIGHT(LeaversJoiners[[#This Row],[Code]],1)=")",1,0)</f>
        <v>0</v>
      </c>
      <c r="F656" t="str">
        <f>IF(LeaversJoiners[[#This Row],[Sütun1]]=1,LEFT(LeaversJoiners[[#This Row],[Code]],FIND("^",LeaversJoiners[[#This Row],[Code]])-1),LeaversJoiners[[#This Row],[Code]])</f>
        <v xml:space="preserve">OZKGY.IS </v>
      </c>
    </row>
    <row r="657" spans="1:6" x14ac:dyDescent="0.25">
      <c r="A657" t="s">
        <v>4</v>
      </c>
      <c r="B657" t="s">
        <v>783</v>
      </c>
      <c r="C657" t="s">
        <v>784</v>
      </c>
      <c r="D657" s="2">
        <v>40910</v>
      </c>
      <c r="E657">
        <f>IF(RIGHT(LeaversJoiners[[#This Row],[Code]],1)=")",1,0)</f>
        <v>0</v>
      </c>
      <c r="F657" t="str">
        <f>IF(LeaversJoiners[[#This Row],[Sütun1]]=1,LEFT(LeaversJoiners[[#This Row],[Code]],FIND("^",LeaversJoiners[[#This Row],[Code]])-1),LeaversJoiners[[#This Row],[Code]])</f>
        <v xml:space="preserve">KERVN.IS </v>
      </c>
    </row>
    <row r="658" spans="1:6" x14ac:dyDescent="0.25">
      <c r="A658" t="s">
        <v>4</v>
      </c>
      <c r="B658" t="s">
        <v>933</v>
      </c>
      <c r="C658" t="s">
        <v>934</v>
      </c>
      <c r="D658" s="2">
        <v>40883</v>
      </c>
      <c r="E658">
        <f>IF(RIGHT(LeaversJoiners[[#This Row],[Code]],1)=")",1,0)</f>
        <v>0</v>
      </c>
      <c r="F658" t="str">
        <f>IF(LeaversJoiners[[#This Row],[Sütun1]]=1,LEFT(LeaversJoiners[[#This Row],[Code]],FIND("^",LeaversJoiners[[#This Row],[Code]])-1),LeaversJoiners[[#This Row],[Code]])</f>
        <v xml:space="preserve">AVOD.IS </v>
      </c>
    </row>
    <row r="659" spans="1:6" x14ac:dyDescent="0.25">
      <c r="A659" t="s">
        <v>4</v>
      </c>
      <c r="B659" t="s">
        <v>785</v>
      </c>
      <c r="C659" t="s">
        <v>786</v>
      </c>
      <c r="D659" s="2">
        <v>40882</v>
      </c>
      <c r="E659">
        <f>IF(RIGHT(LeaversJoiners[[#This Row],[Code]],1)=")",1,0)</f>
        <v>0</v>
      </c>
      <c r="F659" t="str">
        <f>IF(LeaversJoiners[[#This Row],[Sütun1]]=1,LEFT(LeaversJoiners[[#This Row],[Code]],FIND("^",LeaversJoiners[[#This Row],[Code]])-1),LeaversJoiners[[#This Row],[Code]])</f>
        <v xml:space="preserve">MMCAS.IS </v>
      </c>
    </row>
    <row r="660" spans="1:6" x14ac:dyDescent="0.25">
      <c r="A660" t="s">
        <v>4</v>
      </c>
      <c r="B660" t="s">
        <v>935</v>
      </c>
      <c r="C660" t="s">
        <v>936</v>
      </c>
      <c r="D660" s="2">
        <v>40850</v>
      </c>
      <c r="E660">
        <f>IF(RIGHT(LeaversJoiners[[#This Row],[Code]],1)=")",1,0)</f>
        <v>0</v>
      </c>
      <c r="F660" t="str">
        <f>IF(LeaversJoiners[[#This Row],[Sütun1]]=1,LEFT(LeaversJoiners[[#This Row],[Code]],FIND("^",LeaversJoiners[[#This Row],[Code]])-1),LeaversJoiners[[#This Row],[Code]])</f>
        <v xml:space="preserve">ADESE.IS </v>
      </c>
    </row>
    <row r="661" spans="1:6" x14ac:dyDescent="0.25">
      <c r="A661" t="s">
        <v>4</v>
      </c>
      <c r="B661" t="s">
        <v>627</v>
      </c>
      <c r="C661" t="s">
        <v>628</v>
      </c>
      <c r="D661" s="2">
        <v>40827</v>
      </c>
      <c r="E661">
        <f>IF(RIGHT(LeaversJoiners[[#This Row],[Code]],1)=")",1,0)</f>
        <v>0</v>
      </c>
      <c r="F661" t="str">
        <f>IF(LeaversJoiners[[#This Row],[Sütun1]]=1,LEFT(LeaversJoiners[[#This Row],[Code]],FIND("^",LeaversJoiners[[#This Row],[Code]])-1),LeaversJoiners[[#This Row],[Code]])</f>
        <v xml:space="preserve">INFO.IS </v>
      </c>
    </row>
    <row r="662" spans="1:6" x14ac:dyDescent="0.25">
      <c r="A662" t="s">
        <v>4</v>
      </c>
      <c r="B662" t="s">
        <v>580</v>
      </c>
      <c r="C662" t="s">
        <v>581</v>
      </c>
      <c r="D662" s="2">
        <v>40774</v>
      </c>
      <c r="E662">
        <f>IF(RIGHT(LeaversJoiners[[#This Row],[Code]],1)=")",1,0)</f>
        <v>0</v>
      </c>
      <c r="F662" t="str">
        <f>IF(LeaversJoiners[[#This Row],[Sütun1]]=1,LEFT(LeaversJoiners[[#This Row],[Code]],FIND("^",LeaversJoiners[[#This Row],[Code]])-1),LeaversJoiners[[#This Row],[Code]])</f>
        <v xml:space="preserve">GLBMD.IS </v>
      </c>
    </row>
    <row r="663" spans="1:6" x14ac:dyDescent="0.25">
      <c r="A663" t="s">
        <v>4</v>
      </c>
      <c r="B663" t="s">
        <v>701</v>
      </c>
      <c r="C663" t="s">
        <v>702</v>
      </c>
      <c r="D663" s="2">
        <v>40774</v>
      </c>
      <c r="E663">
        <f>IF(RIGHT(LeaversJoiners[[#This Row],[Code]],1)=")",1,0)</f>
        <v>0</v>
      </c>
      <c r="F663" t="str">
        <f>IF(LeaversJoiners[[#This Row],[Sütun1]]=1,LEFT(LeaversJoiners[[#This Row],[Code]],FIND("^",LeaversJoiners[[#This Row],[Code]])-1),LeaversJoiners[[#This Row],[Code]])</f>
        <v xml:space="preserve">GLRYH.IS </v>
      </c>
    </row>
    <row r="664" spans="1:6" x14ac:dyDescent="0.25">
      <c r="A664" t="s">
        <v>4</v>
      </c>
      <c r="B664" t="s">
        <v>757</v>
      </c>
      <c r="C664" t="s">
        <v>758</v>
      </c>
      <c r="D664" s="2">
        <v>40758</v>
      </c>
      <c r="E664">
        <f>IF(RIGHT(LeaversJoiners[[#This Row],[Code]],1)=")",1,0)</f>
        <v>1</v>
      </c>
      <c r="F664" t="str">
        <f>IF(LeaversJoiners[[#This Row],[Sütun1]]=1,LEFT(LeaversJoiners[[#This Row],[Code]],FIND("^",LeaversJoiners[[#This Row],[Code]])-1),LeaversJoiners[[#This Row],[Code]])</f>
        <v>AKSEL.IS</v>
      </c>
    </row>
    <row r="665" spans="1:6" x14ac:dyDescent="0.25">
      <c r="A665" t="s">
        <v>4</v>
      </c>
      <c r="B665" t="s">
        <v>937</v>
      </c>
      <c r="C665" t="s">
        <v>938</v>
      </c>
      <c r="D665" s="2">
        <v>40757</v>
      </c>
      <c r="E665">
        <f>IF(RIGHT(LeaversJoiners[[#This Row],[Code]],1)=")",1,0)</f>
        <v>0</v>
      </c>
      <c r="F665" t="str">
        <f>IF(LeaversJoiners[[#This Row],[Sütun1]]=1,LEFT(LeaversJoiners[[#This Row],[Code]],FIND("^",LeaversJoiners[[#This Row],[Code]])-1),LeaversJoiners[[#This Row],[Code]])</f>
        <v xml:space="preserve">MEPET.IS </v>
      </c>
    </row>
    <row r="666" spans="1:6" x14ac:dyDescent="0.25">
      <c r="A666" t="s">
        <v>4</v>
      </c>
      <c r="B666" t="s">
        <v>400</v>
      </c>
      <c r="C666" t="s">
        <v>401</v>
      </c>
      <c r="D666" s="2">
        <v>40757</v>
      </c>
      <c r="E666">
        <f>IF(RIGHT(LeaversJoiners[[#This Row],[Code]],1)=")",1,0)</f>
        <v>1</v>
      </c>
      <c r="F666" t="str">
        <f>IF(LeaversJoiners[[#This Row],[Sütun1]]=1,LEFT(LeaversJoiners[[#This Row],[Code]],FIND("^",LeaversJoiners[[#This Row],[Code]])-1),LeaversJoiners[[#This Row],[Code]])</f>
        <v>OZBAL.IS</v>
      </c>
    </row>
    <row r="667" spans="1:6" x14ac:dyDescent="0.25">
      <c r="A667" t="s">
        <v>4</v>
      </c>
      <c r="B667" t="s">
        <v>556</v>
      </c>
      <c r="C667" t="s">
        <v>557</v>
      </c>
      <c r="D667" s="2">
        <v>40725</v>
      </c>
      <c r="E667">
        <f>IF(RIGHT(LeaversJoiners[[#This Row],[Code]],1)=")",1,0)</f>
        <v>1</v>
      </c>
      <c r="F667" t="str">
        <f>IF(LeaversJoiners[[#This Row],[Sütun1]]=1,LEFT(LeaversJoiners[[#This Row],[Code]],FIND("^",LeaversJoiners[[#This Row],[Code]])-1),LeaversJoiners[[#This Row],[Code]])</f>
        <v>ASLAN.IS</v>
      </c>
    </row>
    <row r="668" spans="1:6" x14ac:dyDescent="0.25">
      <c r="A668" t="s">
        <v>4</v>
      </c>
      <c r="B668" t="s">
        <v>939</v>
      </c>
      <c r="C668" t="s">
        <v>940</v>
      </c>
      <c r="D668" s="2">
        <v>40725</v>
      </c>
      <c r="E668">
        <f>IF(RIGHT(LeaversJoiners[[#This Row],[Code]],1)=")",1,0)</f>
        <v>0</v>
      </c>
      <c r="F668" t="str">
        <f>IF(LeaversJoiners[[#This Row],[Sütun1]]=1,LEFT(LeaversJoiners[[#This Row],[Code]],FIND("^",LeaversJoiners[[#This Row],[Code]])-1),LeaversJoiners[[#This Row],[Code]])</f>
        <v xml:space="preserve">BURCE.IS </v>
      </c>
    </row>
    <row r="669" spans="1:6" x14ac:dyDescent="0.25">
      <c r="A669" t="s">
        <v>4</v>
      </c>
      <c r="B669" t="s">
        <v>941</v>
      </c>
      <c r="C669" t="s">
        <v>942</v>
      </c>
      <c r="D669" s="2">
        <v>40718</v>
      </c>
      <c r="E669">
        <f>IF(RIGHT(LeaversJoiners[[#This Row],[Code]],1)=")",1,0)</f>
        <v>0</v>
      </c>
      <c r="F669" t="str">
        <f>IF(LeaversJoiners[[#This Row],[Sütun1]]=1,LEFT(LeaversJoiners[[#This Row],[Code]],FIND("^",LeaversJoiners[[#This Row],[Code]])-1),LeaversJoiners[[#This Row],[Code]])</f>
        <v xml:space="preserve">SAMAT.IS </v>
      </c>
    </row>
    <row r="670" spans="1:6" x14ac:dyDescent="0.25">
      <c r="A670" t="s">
        <v>4</v>
      </c>
      <c r="B670" t="s">
        <v>763</v>
      </c>
      <c r="C670" t="s">
        <v>764</v>
      </c>
      <c r="D670" s="2">
        <v>40714</v>
      </c>
      <c r="E670">
        <f>IF(RIGHT(LeaversJoiners[[#This Row],[Code]],1)=")",1,0)</f>
        <v>1</v>
      </c>
      <c r="F670" t="str">
        <f>IF(LeaversJoiners[[#This Row],[Sütun1]]=1,LEFT(LeaversJoiners[[#This Row],[Code]],FIND("^",LeaversJoiners[[#This Row],[Code]])-1),LeaversJoiners[[#This Row],[Code]])</f>
        <v>KILER.IS</v>
      </c>
    </row>
    <row r="671" spans="1:6" x14ac:dyDescent="0.25">
      <c r="A671" t="s">
        <v>4</v>
      </c>
      <c r="B671" t="s">
        <v>294</v>
      </c>
      <c r="C671" t="s">
        <v>295</v>
      </c>
      <c r="D671" s="2">
        <v>40710</v>
      </c>
      <c r="E671">
        <f>IF(RIGHT(LeaversJoiners[[#This Row],[Code]],1)=")",1,0)</f>
        <v>0</v>
      </c>
      <c r="F671" t="str">
        <f>IF(LeaversJoiners[[#This Row],[Sütun1]]=1,LEFT(LeaversJoiners[[#This Row],[Code]],FIND("^",LeaversJoiners[[#This Row],[Code]])-1),LeaversJoiners[[#This Row],[Code]])</f>
        <v xml:space="preserve">ZEDUR.IS </v>
      </c>
    </row>
    <row r="672" spans="1:6" x14ac:dyDescent="0.25">
      <c r="A672" t="s">
        <v>4</v>
      </c>
      <c r="B672" t="s">
        <v>657</v>
      </c>
      <c r="C672" t="s">
        <v>658</v>
      </c>
      <c r="D672" s="2">
        <v>40704</v>
      </c>
      <c r="E672">
        <f>IF(RIGHT(LeaversJoiners[[#This Row],[Code]],1)=")",1,0)</f>
        <v>1</v>
      </c>
      <c r="F672" t="str">
        <f>IF(LeaversJoiners[[#This Row],[Sütun1]]=1,LEFT(LeaversJoiners[[#This Row],[Code]],FIND("^",LeaversJoiners[[#This Row],[Code]])-1),LeaversJoiners[[#This Row],[Code]])</f>
        <v>EGCYO.IS</v>
      </c>
    </row>
    <row r="673" spans="1:6" x14ac:dyDescent="0.25">
      <c r="A673" t="s">
        <v>4</v>
      </c>
      <c r="B673" t="s">
        <v>831</v>
      </c>
      <c r="C673" t="s">
        <v>832</v>
      </c>
      <c r="D673" s="2">
        <v>40703</v>
      </c>
      <c r="E673">
        <f>IF(RIGHT(LeaversJoiners[[#This Row],[Code]],1)=")",1,0)</f>
        <v>1</v>
      </c>
      <c r="F673" t="str">
        <f>IF(LeaversJoiners[[#This Row],[Sütun1]]=1,LEFT(LeaversJoiners[[#This Row],[Code]],FIND("^",LeaversJoiners[[#This Row],[Code]])-1),LeaversJoiners[[#This Row],[Code]])</f>
        <v>ERICO.IS</v>
      </c>
    </row>
    <row r="674" spans="1:6" x14ac:dyDescent="0.25">
      <c r="A674" t="s">
        <v>4</v>
      </c>
      <c r="B674" t="s">
        <v>849</v>
      </c>
      <c r="C674" t="s">
        <v>850</v>
      </c>
      <c r="D674" s="2">
        <v>40702</v>
      </c>
      <c r="E674">
        <f>IF(RIGHT(LeaversJoiners[[#This Row],[Code]],1)=")",1,0)</f>
        <v>1</v>
      </c>
      <c r="F674" t="str">
        <f>IF(LeaversJoiners[[#This Row],[Sütun1]]=1,LEFT(LeaversJoiners[[#This Row],[Code]],FIND("^",LeaversJoiners[[#This Row],[Code]])-1),LeaversJoiners[[#This Row],[Code]])</f>
        <v>ATAC.IS</v>
      </c>
    </row>
    <row r="675" spans="1:6" x14ac:dyDescent="0.25">
      <c r="A675" t="s">
        <v>4</v>
      </c>
      <c r="B675" t="s">
        <v>829</v>
      </c>
      <c r="C675" t="s">
        <v>863</v>
      </c>
      <c r="D675" s="2">
        <v>40696</v>
      </c>
      <c r="E675">
        <f>IF(RIGHT(LeaversJoiners[[#This Row],[Code]],1)=")",1,0)</f>
        <v>1</v>
      </c>
      <c r="F675" t="str">
        <f>IF(LeaversJoiners[[#This Row],[Sütun1]]=1,LEFT(LeaversJoiners[[#This Row],[Code]],FIND("^",LeaversJoiners[[#This Row],[Code]])-1),LeaversJoiners[[#This Row],[Code]])</f>
        <v>KARKM.IS</v>
      </c>
    </row>
    <row r="676" spans="1:6" x14ac:dyDescent="0.25">
      <c r="A676" t="s">
        <v>29</v>
      </c>
      <c r="B676" t="s">
        <v>835</v>
      </c>
      <c r="C676" t="s">
        <v>836</v>
      </c>
      <c r="D676" s="2">
        <v>40696</v>
      </c>
      <c r="E676">
        <f>IF(RIGHT(LeaversJoiners[[#This Row],[Code]],1)=")",1,0)</f>
        <v>1</v>
      </c>
      <c r="F676" t="str">
        <f>IF(LeaversJoiners[[#This Row],[Sütun1]]=1,LEFT(LeaversJoiners[[#This Row],[Code]],FIND("^",LeaversJoiners[[#This Row],[Code]])-1),LeaversJoiners[[#This Row],[Code]])</f>
        <v>GNPWR.IS</v>
      </c>
    </row>
    <row r="677" spans="1:6" x14ac:dyDescent="0.25">
      <c r="A677" t="s">
        <v>4</v>
      </c>
      <c r="B677" t="s">
        <v>835</v>
      </c>
      <c r="C677" t="s">
        <v>836</v>
      </c>
      <c r="D677" s="2">
        <v>40696</v>
      </c>
      <c r="E677">
        <f>IF(RIGHT(LeaversJoiners[[#This Row],[Code]],1)=")",1,0)</f>
        <v>1</v>
      </c>
      <c r="F677" t="str">
        <f>IF(LeaversJoiners[[#This Row],[Sütun1]]=1,LEFT(LeaversJoiners[[#This Row],[Code]],FIND("^",LeaversJoiners[[#This Row],[Code]])-1),LeaversJoiners[[#This Row],[Code]])</f>
        <v>GNPWR.IS</v>
      </c>
    </row>
    <row r="678" spans="1:6" x14ac:dyDescent="0.25">
      <c r="A678" t="s">
        <v>29</v>
      </c>
      <c r="B678" t="s">
        <v>943</v>
      </c>
      <c r="C678" t="s">
        <v>944</v>
      </c>
      <c r="D678" s="2">
        <v>40696</v>
      </c>
      <c r="E678">
        <f>IF(RIGHT(LeaversJoiners[[#This Row],[Code]],1)=")",1,0)</f>
        <v>0</v>
      </c>
      <c r="F678" t="str">
        <f>IF(LeaversJoiners[[#This Row],[Sütun1]]=1,LEFT(LeaversJoiners[[#This Row],[Code]],FIND("^",LeaversJoiners[[#This Row],[Code]])-1),LeaversJoiners[[#This Row],[Code]])</f>
        <v xml:space="preserve">IHLGM.IS </v>
      </c>
    </row>
    <row r="679" spans="1:6" x14ac:dyDescent="0.25">
      <c r="A679" t="s">
        <v>4</v>
      </c>
      <c r="B679" t="s">
        <v>943</v>
      </c>
      <c r="C679" t="s">
        <v>944</v>
      </c>
      <c r="D679" s="2">
        <v>40696</v>
      </c>
      <c r="E679">
        <f>IF(RIGHT(LeaversJoiners[[#This Row],[Code]],1)=")",1,0)</f>
        <v>0</v>
      </c>
      <c r="F679" t="str">
        <f>IF(LeaversJoiners[[#This Row],[Sütun1]]=1,LEFT(LeaversJoiners[[#This Row],[Code]],FIND("^",LeaversJoiners[[#This Row],[Code]])-1),LeaversJoiners[[#This Row],[Code]])</f>
        <v xml:space="preserve">IHLGM.IS </v>
      </c>
    </row>
    <row r="680" spans="1:6" x14ac:dyDescent="0.25">
      <c r="A680" t="s">
        <v>4</v>
      </c>
      <c r="B680" t="s">
        <v>945</v>
      </c>
      <c r="C680" t="s">
        <v>946</v>
      </c>
      <c r="D680" s="2">
        <v>40695</v>
      </c>
      <c r="E680">
        <f>IF(RIGHT(LeaversJoiners[[#This Row],[Code]],1)=")",1,0)</f>
        <v>0</v>
      </c>
      <c r="F680" t="str">
        <f>IF(LeaversJoiners[[#This Row],[Sütun1]]=1,LEFT(LeaversJoiners[[#This Row],[Code]],FIND("^",LeaversJoiners[[#This Row],[Code]])-1),LeaversJoiners[[#This Row],[Code]])</f>
        <v xml:space="preserve">DAGI.IS </v>
      </c>
    </row>
    <row r="681" spans="1:6" x14ac:dyDescent="0.25">
      <c r="A681" t="s">
        <v>4</v>
      </c>
      <c r="B681" t="s">
        <v>779</v>
      </c>
      <c r="C681" t="s">
        <v>780</v>
      </c>
      <c r="D681" s="2">
        <v>40690</v>
      </c>
      <c r="E681">
        <f>IF(RIGHT(LeaversJoiners[[#This Row],[Code]],1)=")",1,0)</f>
        <v>0</v>
      </c>
      <c r="F681" t="str">
        <f>IF(LeaversJoiners[[#This Row],[Sütun1]]=1,LEFT(LeaversJoiners[[#This Row],[Code]],FIND("^",LeaversJoiners[[#This Row],[Code]])-1),LeaversJoiners[[#This Row],[Code]])</f>
        <v xml:space="preserve">KRONT.IS </v>
      </c>
    </row>
    <row r="682" spans="1:6" x14ac:dyDescent="0.25">
      <c r="A682" t="s">
        <v>4</v>
      </c>
      <c r="B682" t="s">
        <v>947</v>
      </c>
      <c r="C682" t="s">
        <v>948</v>
      </c>
      <c r="D682" s="2">
        <v>40680</v>
      </c>
      <c r="E682">
        <f>IF(RIGHT(LeaversJoiners[[#This Row],[Code]],1)=")",1,0)</f>
        <v>0</v>
      </c>
      <c r="F682" t="str">
        <f>IF(LeaversJoiners[[#This Row],[Sütun1]]=1,LEFT(LeaversJoiners[[#This Row],[Code]],FIND("^",LeaversJoiners[[#This Row],[Code]])-1),LeaversJoiners[[#This Row],[Code]])</f>
        <v xml:space="preserve">BLCYT.IS </v>
      </c>
    </row>
    <row r="683" spans="1:6" x14ac:dyDescent="0.25">
      <c r="A683" t="s">
        <v>4</v>
      </c>
      <c r="B683" t="s">
        <v>949</v>
      </c>
      <c r="C683" t="s">
        <v>950</v>
      </c>
      <c r="D683" s="2">
        <v>40676</v>
      </c>
      <c r="E683">
        <f>IF(RIGHT(LeaversJoiners[[#This Row],[Code]],1)=")",1,0)</f>
        <v>0</v>
      </c>
      <c r="F683" t="str">
        <f>IF(LeaversJoiners[[#This Row],[Sütun1]]=1,LEFT(LeaversJoiners[[#This Row],[Code]],FIND("^",LeaversJoiners[[#This Row],[Code]])-1),LeaversJoiners[[#This Row],[Code]])</f>
        <v xml:space="preserve">HATEK.IS </v>
      </c>
    </row>
    <row r="684" spans="1:6" x14ac:dyDescent="0.25">
      <c r="A684" t="s">
        <v>4</v>
      </c>
      <c r="B684" t="s">
        <v>619</v>
      </c>
      <c r="C684" t="s">
        <v>620</v>
      </c>
      <c r="D684" s="2">
        <v>40676</v>
      </c>
      <c r="E684">
        <f>IF(RIGHT(LeaversJoiners[[#This Row],[Code]],1)=")",1,0)</f>
        <v>0</v>
      </c>
      <c r="F684" t="str">
        <f>IF(LeaversJoiners[[#This Row],[Sütun1]]=1,LEFT(LeaversJoiners[[#This Row],[Code]],FIND("^",LeaversJoiners[[#This Row],[Code]])-1),LeaversJoiners[[#This Row],[Code]])</f>
        <v xml:space="preserve">YAPRK.IS </v>
      </c>
    </row>
    <row r="685" spans="1:6" x14ac:dyDescent="0.25">
      <c r="A685" t="s">
        <v>4</v>
      </c>
      <c r="B685" t="s">
        <v>951</v>
      </c>
      <c r="C685" t="s">
        <v>952</v>
      </c>
      <c r="D685" s="2">
        <v>40674</v>
      </c>
      <c r="E685">
        <f>IF(RIGHT(LeaversJoiners[[#This Row],[Code]],1)=")",1,0)</f>
        <v>0</v>
      </c>
      <c r="F685" t="str">
        <f>IF(LeaversJoiners[[#This Row],[Sütun1]]=1,LEFT(LeaversJoiners[[#This Row],[Code]],FIND("^",LeaversJoiners[[#This Row],[Code]])-1),LeaversJoiners[[#This Row],[Code]])</f>
        <v xml:space="preserve">AKFGY.IS </v>
      </c>
    </row>
    <row r="686" spans="1:6" x14ac:dyDescent="0.25">
      <c r="A686" t="s">
        <v>4</v>
      </c>
      <c r="B686" t="s">
        <v>763</v>
      </c>
      <c r="C686" t="s">
        <v>953</v>
      </c>
      <c r="D686" s="2">
        <v>40653</v>
      </c>
      <c r="E686">
        <f>IF(RIGHT(LeaversJoiners[[#This Row],[Code]],1)=")",1,0)</f>
        <v>0</v>
      </c>
      <c r="F686" t="str">
        <f>IF(LeaversJoiners[[#This Row],[Sütun1]]=1,LEFT(LeaversJoiners[[#This Row],[Code]],FIND("^",LeaversJoiners[[#This Row],[Code]])-1),LeaversJoiners[[#This Row],[Code]])</f>
        <v xml:space="preserve">KLGYO.IS </v>
      </c>
    </row>
    <row r="687" spans="1:6" x14ac:dyDescent="0.25">
      <c r="A687" t="s">
        <v>4</v>
      </c>
      <c r="B687" t="s">
        <v>695</v>
      </c>
      <c r="C687" t="s">
        <v>696</v>
      </c>
      <c r="D687" s="2">
        <v>40647</v>
      </c>
      <c r="E687">
        <f>IF(RIGHT(LeaversJoiners[[#This Row],[Code]],1)=")",1,0)</f>
        <v>1</v>
      </c>
      <c r="F687" t="str">
        <f>IF(LeaversJoiners[[#This Row],[Sütun1]]=1,LEFT(LeaversJoiners[[#This Row],[Code]],FIND("^",LeaversJoiners[[#This Row],[Code]])-1),LeaversJoiners[[#This Row],[Code]])</f>
        <v>BMEKS.IS</v>
      </c>
    </row>
    <row r="688" spans="1:6" x14ac:dyDescent="0.25">
      <c r="A688" t="s">
        <v>4</v>
      </c>
      <c r="B688" t="s">
        <v>775</v>
      </c>
      <c r="C688" t="s">
        <v>776</v>
      </c>
      <c r="D688" s="2">
        <v>40634</v>
      </c>
      <c r="E688">
        <f>IF(RIGHT(LeaversJoiners[[#This Row],[Code]],1)=")",1,0)</f>
        <v>0</v>
      </c>
      <c r="F688" t="str">
        <f>IF(LeaversJoiners[[#This Row],[Sütun1]]=1,LEFT(LeaversJoiners[[#This Row],[Code]],FIND("^",LeaversJoiners[[#This Row],[Code]])-1),LeaversJoiners[[#This Row],[Code]])</f>
        <v xml:space="preserve">AVTUR.IS </v>
      </c>
    </row>
    <row r="689" spans="1:6" x14ac:dyDescent="0.25">
      <c r="A689" t="s">
        <v>4</v>
      </c>
      <c r="B689" t="s">
        <v>954</v>
      </c>
      <c r="C689" t="s">
        <v>955</v>
      </c>
      <c r="D689" s="2">
        <v>40631</v>
      </c>
      <c r="E689">
        <f>IF(RIGHT(LeaversJoiners[[#This Row],[Code]],1)=")",1,0)</f>
        <v>0</v>
      </c>
      <c r="F689" t="str">
        <f>IF(LeaversJoiners[[#This Row],[Sütun1]]=1,LEFT(LeaversJoiners[[#This Row],[Code]],FIND("^",LeaversJoiners[[#This Row],[Code]])-1),LeaversJoiners[[#This Row],[Code]])</f>
        <v xml:space="preserve">LKMNH.IS </v>
      </c>
    </row>
    <row r="690" spans="1:6" x14ac:dyDescent="0.25">
      <c r="A690" t="s">
        <v>29</v>
      </c>
      <c r="B690" t="s">
        <v>520</v>
      </c>
      <c r="C690" t="s">
        <v>521</v>
      </c>
      <c r="D690" s="2">
        <v>40624</v>
      </c>
      <c r="E690">
        <f>IF(RIGHT(LeaversJoiners[[#This Row],[Code]],1)=")",1,0)</f>
        <v>0</v>
      </c>
      <c r="F690" t="str">
        <f>IF(LeaversJoiners[[#This Row],[Sütun1]]=1,LEFT(LeaversJoiners[[#This Row],[Code]],FIND("^",LeaversJoiners[[#This Row],[Code]])-1),LeaversJoiners[[#This Row],[Code]])</f>
        <v xml:space="preserve">DARDL.IS </v>
      </c>
    </row>
    <row r="691" spans="1:6" x14ac:dyDescent="0.25">
      <c r="A691" t="s">
        <v>29</v>
      </c>
      <c r="B691" t="s">
        <v>956</v>
      </c>
      <c r="C691" t="s">
        <v>957</v>
      </c>
      <c r="D691" s="2">
        <v>40590</v>
      </c>
      <c r="E691">
        <f>IF(RIGHT(LeaversJoiners[[#This Row],[Code]],1)=")",1,0)</f>
        <v>1</v>
      </c>
      <c r="F691" t="str">
        <f>IF(LeaversJoiners[[#This Row],[Sütun1]]=1,LEFT(LeaversJoiners[[#This Row],[Code]],FIND("^",LeaversJoiners[[#This Row],[Code]])-1),LeaversJoiners[[#This Row],[Code]])</f>
        <v>FORTS.IS</v>
      </c>
    </row>
    <row r="692" spans="1:6" x14ac:dyDescent="0.25">
      <c r="A692" t="s">
        <v>4</v>
      </c>
      <c r="B692" t="s">
        <v>958</v>
      </c>
      <c r="C692" t="s">
        <v>959</v>
      </c>
      <c r="D692" s="2">
        <v>40577</v>
      </c>
      <c r="E692">
        <f>IF(RIGHT(LeaversJoiners[[#This Row],[Code]],1)=")",1,0)</f>
        <v>0</v>
      </c>
      <c r="F692" t="str">
        <f>IF(LeaversJoiners[[#This Row],[Sütun1]]=1,LEFT(LeaversJoiners[[#This Row],[Code]],FIND("^",LeaversJoiners[[#This Row],[Code]])-1),LeaversJoiners[[#This Row],[Code]])</f>
        <v xml:space="preserve">BIZIM.IS </v>
      </c>
    </row>
    <row r="693" spans="1:6" x14ac:dyDescent="0.25">
      <c r="A693" t="s">
        <v>4</v>
      </c>
      <c r="B693" t="s">
        <v>960</v>
      </c>
      <c r="C693" t="s">
        <v>961</v>
      </c>
      <c r="D693" s="2">
        <v>40549</v>
      </c>
      <c r="E693">
        <f>IF(RIGHT(LeaversJoiners[[#This Row],[Code]],1)=")",1,0)</f>
        <v>0</v>
      </c>
      <c r="F693" t="str">
        <f>IF(LeaversJoiners[[#This Row],[Sütun1]]=1,LEFT(LeaversJoiners[[#This Row],[Code]],FIND("^",LeaversJoiners[[#This Row],[Code]])-1),LeaversJoiners[[#This Row],[Code]])</f>
        <v xml:space="preserve">ALARK.IS </v>
      </c>
    </row>
    <row r="694" spans="1:6" x14ac:dyDescent="0.25">
      <c r="A694" t="s">
        <v>29</v>
      </c>
      <c r="B694" t="s">
        <v>960</v>
      </c>
      <c r="C694" t="s">
        <v>961</v>
      </c>
      <c r="D694" s="2">
        <v>40548</v>
      </c>
      <c r="E694">
        <f>IF(RIGHT(LeaversJoiners[[#This Row],[Code]],1)=")",1,0)</f>
        <v>0</v>
      </c>
      <c r="F694" t="str">
        <f>IF(LeaversJoiners[[#This Row],[Sütun1]]=1,LEFT(LeaversJoiners[[#This Row],[Code]],FIND("^",LeaversJoiners[[#This Row],[Code]])-1),LeaversJoiners[[#This Row],[Code]])</f>
        <v xml:space="preserve">ALARK.IS </v>
      </c>
    </row>
    <row r="695" spans="1:6" x14ac:dyDescent="0.25">
      <c r="A695" t="s">
        <v>4</v>
      </c>
      <c r="B695" t="s">
        <v>962</v>
      </c>
      <c r="C695" t="s">
        <v>963</v>
      </c>
      <c r="D695" s="2">
        <v>40548</v>
      </c>
      <c r="E695">
        <f>IF(RIGHT(LeaversJoiners[[#This Row],[Code]],1)=")",1,0)</f>
        <v>0</v>
      </c>
      <c r="F695" t="str">
        <f>IF(LeaversJoiners[[#This Row],[Sütun1]]=1,LEFT(LeaversJoiners[[#This Row],[Code]],FIND("^",LeaversJoiners[[#This Row],[Code]])-1),LeaversJoiners[[#This Row],[Code]])</f>
        <v xml:space="preserve">AVGYO.IS </v>
      </c>
    </row>
    <row r="696" spans="1:6" x14ac:dyDescent="0.25">
      <c r="A696" t="s">
        <v>4</v>
      </c>
      <c r="B696" t="s">
        <v>964</v>
      </c>
      <c r="C696" t="s">
        <v>965</v>
      </c>
      <c r="D696" s="2">
        <v>40548</v>
      </c>
      <c r="E696">
        <f>IF(RIGHT(LeaversJoiners[[#This Row],[Code]],1)=")",1,0)</f>
        <v>0</v>
      </c>
      <c r="F696" t="str">
        <f>IF(LeaversJoiners[[#This Row],[Sütun1]]=1,LEFT(LeaversJoiners[[#This Row],[Code]],FIND("^",LeaversJoiners[[#This Row],[Code]])-1),LeaversJoiners[[#This Row],[Code]])</f>
        <v xml:space="preserve">MAKTK.IS </v>
      </c>
    </row>
    <row r="697" spans="1:6" x14ac:dyDescent="0.25">
      <c r="A697" t="s">
        <v>4</v>
      </c>
      <c r="B697" t="s">
        <v>880</v>
      </c>
      <c r="C697" t="s">
        <v>881</v>
      </c>
      <c r="D697" s="2">
        <v>40548</v>
      </c>
      <c r="E697">
        <f>IF(RIGHT(LeaversJoiners[[#This Row],[Code]],1)=")",1,0)</f>
        <v>1</v>
      </c>
      <c r="F697" t="str">
        <f>IF(LeaversJoiners[[#This Row],[Sütun1]]=1,LEFT(LeaversJoiners[[#This Row],[Code]],FIND("^",LeaversJoiners[[#This Row],[Code]])-1),LeaversJoiners[[#This Row],[Code]])</f>
        <v>TRNSK.IS</v>
      </c>
    </row>
    <row r="698" spans="1:6" x14ac:dyDescent="0.25">
      <c r="A698" t="s">
        <v>4</v>
      </c>
      <c r="B698" t="s">
        <v>574</v>
      </c>
      <c r="C698" t="s">
        <v>575</v>
      </c>
      <c r="D698" s="2">
        <v>40546</v>
      </c>
      <c r="E698">
        <f>IF(RIGHT(LeaversJoiners[[#This Row],[Code]],1)=")",1,0)</f>
        <v>0</v>
      </c>
      <c r="F698" t="str">
        <f>IF(LeaversJoiners[[#This Row],[Sütun1]]=1,LEFT(LeaversJoiners[[#This Row],[Code]],FIND("^",LeaversJoiners[[#This Row],[Code]])-1),LeaversJoiners[[#This Row],[Code]])</f>
        <v xml:space="preserve">AYCES.IS </v>
      </c>
    </row>
    <row r="699" spans="1:6" x14ac:dyDescent="0.25">
      <c r="A699" t="s">
        <v>4</v>
      </c>
      <c r="B699" t="s">
        <v>731</v>
      </c>
      <c r="C699" t="s">
        <v>732</v>
      </c>
      <c r="D699" s="2">
        <v>40546</v>
      </c>
      <c r="E699">
        <f>IF(RIGHT(LeaversJoiners[[#This Row],[Code]],1)=")",1,0)</f>
        <v>0</v>
      </c>
      <c r="F699" t="str">
        <f>IF(LeaversJoiners[[#This Row],[Sütun1]]=1,LEFT(LeaversJoiners[[#This Row],[Code]],FIND("^",LeaversJoiners[[#This Row],[Code]])-1),LeaversJoiners[[#This Row],[Code]])</f>
        <v xml:space="preserve">BRKO.IS </v>
      </c>
    </row>
    <row r="700" spans="1:6" x14ac:dyDescent="0.25">
      <c r="A700" t="s">
        <v>4</v>
      </c>
      <c r="B700" t="s">
        <v>524</v>
      </c>
      <c r="C700" t="s">
        <v>525</v>
      </c>
      <c r="D700" s="2">
        <v>40546</v>
      </c>
      <c r="E700">
        <f>IF(RIGHT(LeaversJoiners[[#This Row],[Code]],1)=")",1,0)</f>
        <v>0</v>
      </c>
      <c r="F700" t="str">
        <f>IF(LeaversJoiners[[#This Row],[Sütun1]]=1,LEFT(LeaversJoiners[[#This Row],[Code]],FIND("^",LeaversJoiners[[#This Row],[Code]])-1),LeaversJoiners[[#This Row],[Code]])</f>
        <v xml:space="preserve">BRMEN.IS </v>
      </c>
    </row>
    <row r="701" spans="1:6" x14ac:dyDescent="0.25">
      <c r="A701" t="s">
        <v>4</v>
      </c>
      <c r="B701" t="s">
        <v>966</v>
      </c>
      <c r="C701" t="s">
        <v>967</v>
      </c>
      <c r="D701" s="2">
        <v>40546</v>
      </c>
      <c r="E701">
        <f>IF(RIGHT(LeaversJoiners[[#This Row],[Code]],1)=")",1,0)</f>
        <v>0</v>
      </c>
      <c r="F701" t="str">
        <f>IF(LeaversJoiners[[#This Row],[Sütun1]]=1,LEFT(LeaversJoiners[[#This Row],[Code]],FIND("^",LeaversJoiners[[#This Row],[Code]])-1),LeaversJoiners[[#This Row],[Code]])</f>
        <v xml:space="preserve">CEMAS.IS </v>
      </c>
    </row>
    <row r="702" spans="1:6" x14ac:dyDescent="0.25">
      <c r="A702" t="s">
        <v>4</v>
      </c>
      <c r="B702" t="s">
        <v>520</v>
      </c>
      <c r="C702" t="s">
        <v>521</v>
      </c>
      <c r="D702" s="2">
        <v>40546</v>
      </c>
      <c r="E702">
        <f>IF(RIGHT(LeaversJoiners[[#This Row],[Code]],1)=")",1,0)</f>
        <v>0</v>
      </c>
      <c r="F702" t="str">
        <f>IF(LeaversJoiners[[#This Row],[Sütun1]]=1,LEFT(LeaversJoiners[[#This Row],[Code]],FIND("^",LeaversJoiners[[#This Row],[Code]])-1),LeaversJoiners[[#This Row],[Code]])</f>
        <v xml:space="preserve">DARDL.IS </v>
      </c>
    </row>
    <row r="703" spans="1:6" x14ac:dyDescent="0.25">
      <c r="A703" t="s">
        <v>4</v>
      </c>
      <c r="B703" t="s">
        <v>968</v>
      </c>
      <c r="C703" t="s">
        <v>969</v>
      </c>
      <c r="D703" s="2">
        <v>40546</v>
      </c>
      <c r="E703">
        <f>IF(RIGHT(LeaversJoiners[[#This Row],[Code]],1)=")",1,0)</f>
        <v>0</v>
      </c>
      <c r="F703" t="str">
        <f>IF(LeaversJoiners[[#This Row],[Sütun1]]=1,LEFT(LeaversJoiners[[#This Row],[Code]],FIND("^",LeaversJoiners[[#This Row],[Code]])-1),LeaversJoiners[[#This Row],[Code]])</f>
        <v xml:space="preserve">DGATE.IS </v>
      </c>
    </row>
    <row r="704" spans="1:6" x14ac:dyDescent="0.25">
      <c r="A704" t="s">
        <v>4</v>
      </c>
      <c r="B704" t="s">
        <v>970</v>
      </c>
      <c r="C704" t="s">
        <v>971</v>
      </c>
      <c r="D704" s="2">
        <v>40546</v>
      </c>
      <c r="E704">
        <f>IF(RIGHT(LeaversJoiners[[#This Row],[Code]],1)=")",1,0)</f>
        <v>0</v>
      </c>
      <c r="F704" t="str">
        <f>IF(LeaversJoiners[[#This Row],[Sütun1]]=1,LEFT(LeaversJoiners[[#This Row],[Code]],FIND("^",LeaversJoiners[[#This Row],[Code]])-1),LeaversJoiners[[#This Row],[Code]])</f>
        <v xml:space="preserve">DESPC.IS </v>
      </c>
    </row>
    <row r="705" spans="1:6" x14ac:dyDescent="0.25">
      <c r="A705" t="s">
        <v>4</v>
      </c>
      <c r="B705" t="s">
        <v>681</v>
      </c>
      <c r="C705" t="s">
        <v>682</v>
      </c>
      <c r="D705" s="2">
        <v>40546</v>
      </c>
      <c r="E705">
        <f>IF(RIGHT(LeaversJoiners[[#This Row],[Code]],1)=")",1,0)</f>
        <v>0</v>
      </c>
      <c r="F705" t="str">
        <f>IF(LeaversJoiners[[#This Row],[Sütun1]]=1,LEFT(LeaversJoiners[[#This Row],[Code]],FIND("^",LeaversJoiners[[#This Row],[Code]])-1),LeaversJoiners[[#This Row],[Code]])</f>
        <v xml:space="preserve">DOGUB.IS </v>
      </c>
    </row>
    <row r="706" spans="1:6" x14ac:dyDescent="0.25">
      <c r="A706" t="s">
        <v>4</v>
      </c>
      <c r="B706" t="s">
        <v>759</v>
      </c>
      <c r="C706" t="s">
        <v>760</v>
      </c>
      <c r="D706" s="2">
        <v>40546</v>
      </c>
      <c r="E706">
        <f>IF(RIGHT(LeaversJoiners[[#This Row],[Code]],1)=")",1,0)</f>
        <v>1</v>
      </c>
      <c r="F706" t="str">
        <f>IF(LeaversJoiners[[#This Row],[Sütun1]]=1,LEFT(LeaversJoiners[[#This Row],[Code]],FIND("^",LeaversJoiners[[#This Row],[Code]])-1),LeaversJoiners[[#This Row],[Code]])</f>
        <v>EGCYH.IS</v>
      </c>
    </row>
    <row r="707" spans="1:6" x14ac:dyDescent="0.25">
      <c r="A707" t="s">
        <v>4</v>
      </c>
      <c r="B707" t="s">
        <v>699</v>
      </c>
      <c r="C707" t="s">
        <v>700</v>
      </c>
      <c r="D707" s="2">
        <v>40546</v>
      </c>
      <c r="E707">
        <f>IF(RIGHT(LeaversJoiners[[#This Row],[Code]],1)=")",1,0)</f>
        <v>0</v>
      </c>
      <c r="F707" t="str">
        <f>IF(LeaversJoiners[[#This Row],[Sütun1]]=1,LEFT(LeaversJoiners[[#This Row],[Code]],FIND("^",LeaversJoiners[[#This Row],[Code]])-1),LeaversJoiners[[#This Row],[Code]])</f>
        <v xml:space="preserve">EGPRO.IS </v>
      </c>
    </row>
    <row r="708" spans="1:6" x14ac:dyDescent="0.25">
      <c r="A708" t="s">
        <v>4</v>
      </c>
      <c r="B708" t="s">
        <v>878</v>
      </c>
      <c r="C708" t="s">
        <v>879</v>
      </c>
      <c r="D708" s="2">
        <v>40546</v>
      </c>
      <c r="E708">
        <f>IF(RIGHT(LeaversJoiners[[#This Row],[Code]],1)=")",1,0)</f>
        <v>0</v>
      </c>
      <c r="F708" t="str">
        <f>IF(LeaversJoiners[[#This Row],[Sütun1]]=1,LEFT(LeaversJoiners[[#This Row],[Code]],FIND("^",LeaversJoiners[[#This Row],[Code]])-1),LeaversJoiners[[#This Row],[Code]])</f>
        <v xml:space="preserve">EKIZ.IS </v>
      </c>
    </row>
    <row r="709" spans="1:6" x14ac:dyDescent="0.25">
      <c r="A709" t="s">
        <v>4</v>
      </c>
      <c r="B709" t="s">
        <v>124</v>
      </c>
      <c r="C709" t="s">
        <v>125</v>
      </c>
      <c r="D709" s="2">
        <v>40546</v>
      </c>
      <c r="E709">
        <f>IF(RIGHT(LeaversJoiners[[#This Row],[Code]],1)=")",1,0)</f>
        <v>0</v>
      </c>
      <c r="F709" t="str">
        <f>IF(LeaversJoiners[[#This Row],[Sütun1]]=1,LEFT(LeaversJoiners[[#This Row],[Code]],FIND("^",LeaversJoiners[[#This Row],[Code]])-1),LeaversJoiners[[#This Row],[Code]])</f>
        <v xml:space="preserve">EUHOL.IS </v>
      </c>
    </row>
    <row r="710" spans="1:6" x14ac:dyDescent="0.25">
      <c r="A710" t="s">
        <v>4</v>
      </c>
      <c r="B710" t="s">
        <v>643</v>
      </c>
      <c r="C710" t="s">
        <v>644</v>
      </c>
      <c r="D710" s="2">
        <v>40546</v>
      </c>
      <c r="E710">
        <f>IF(RIGHT(LeaversJoiners[[#This Row],[Code]],1)=")",1,0)</f>
        <v>0</v>
      </c>
      <c r="F710" t="str">
        <f>IF(LeaversJoiners[[#This Row],[Sütun1]]=1,LEFT(LeaversJoiners[[#This Row],[Code]],FIND("^",LeaversJoiners[[#This Row],[Code]])-1),LeaversJoiners[[#This Row],[Code]])</f>
        <v xml:space="preserve">GEDIK.IS </v>
      </c>
    </row>
    <row r="711" spans="1:6" x14ac:dyDescent="0.25">
      <c r="A711" t="s">
        <v>4</v>
      </c>
      <c r="B711" t="s">
        <v>972</v>
      </c>
      <c r="C711" t="s">
        <v>973</v>
      </c>
      <c r="D711" s="2">
        <v>40546</v>
      </c>
      <c r="E711">
        <f>IF(RIGHT(LeaversJoiners[[#This Row],[Code]],1)=")",1,0)</f>
        <v>0</v>
      </c>
      <c r="F711" t="str">
        <f>IF(LeaversJoiners[[#This Row],[Sütun1]]=1,LEFT(LeaversJoiners[[#This Row],[Code]],FIND("^",LeaversJoiners[[#This Row],[Code]])-1),LeaversJoiners[[#This Row],[Code]])</f>
        <v xml:space="preserve">GOZDE.IS </v>
      </c>
    </row>
    <row r="712" spans="1:6" x14ac:dyDescent="0.25">
      <c r="A712" t="s">
        <v>4</v>
      </c>
      <c r="B712" t="s">
        <v>943</v>
      </c>
      <c r="C712" t="s">
        <v>944</v>
      </c>
      <c r="D712" s="2">
        <v>40546</v>
      </c>
      <c r="E712">
        <f>IF(RIGHT(LeaversJoiners[[#This Row],[Code]],1)=")",1,0)</f>
        <v>0</v>
      </c>
      <c r="F712" t="str">
        <f>IF(LeaversJoiners[[#This Row],[Sütun1]]=1,LEFT(LeaversJoiners[[#This Row],[Code]],FIND("^",LeaversJoiners[[#This Row],[Code]])-1),LeaversJoiners[[#This Row],[Code]])</f>
        <v xml:space="preserve">IHLGM.IS </v>
      </c>
    </row>
    <row r="713" spans="1:6" x14ac:dyDescent="0.25">
      <c r="A713" t="s">
        <v>4</v>
      </c>
      <c r="B713" t="s">
        <v>974</v>
      </c>
      <c r="C713" t="s">
        <v>975</v>
      </c>
      <c r="D713" s="2">
        <v>40546</v>
      </c>
      <c r="E713">
        <f>IF(RIGHT(LeaversJoiners[[#This Row],[Code]],1)=")",1,0)</f>
        <v>0</v>
      </c>
      <c r="F713" t="str">
        <f>IF(LeaversJoiners[[#This Row],[Sütun1]]=1,LEFT(LeaversJoiners[[#This Row],[Code]],FIND("^",LeaversJoiners[[#This Row],[Code]])-1),LeaversJoiners[[#This Row],[Code]])</f>
        <v xml:space="preserve">INGRM.IS </v>
      </c>
    </row>
    <row r="714" spans="1:6" x14ac:dyDescent="0.25">
      <c r="A714" t="s">
        <v>4</v>
      </c>
      <c r="B714" t="s">
        <v>976</v>
      </c>
      <c r="C714" t="s">
        <v>977</v>
      </c>
      <c r="D714" s="2">
        <v>40546</v>
      </c>
      <c r="E714">
        <f>IF(RIGHT(LeaversJoiners[[#This Row],[Code]],1)=")",1,0)</f>
        <v>0</v>
      </c>
      <c r="F714" t="str">
        <f>IF(LeaversJoiners[[#This Row],[Sütun1]]=1,LEFT(LeaversJoiners[[#This Row],[Code]],FIND("^",LeaversJoiners[[#This Row],[Code]])-1),LeaversJoiners[[#This Row],[Code]])</f>
        <v xml:space="preserve">KATMR.IS </v>
      </c>
    </row>
    <row r="715" spans="1:6" x14ac:dyDescent="0.25">
      <c r="A715" t="s">
        <v>4</v>
      </c>
      <c r="B715" t="s">
        <v>891</v>
      </c>
      <c r="C715" t="s">
        <v>892</v>
      </c>
      <c r="D715" s="2">
        <v>40546</v>
      </c>
      <c r="E715">
        <f>IF(RIGHT(LeaversJoiners[[#This Row],[Code]],1)=")",1,0)</f>
        <v>1</v>
      </c>
      <c r="F715" t="str">
        <f>IF(LeaversJoiners[[#This Row],[Sütun1]]=1,LEFT(LeaversJoiners[[#This Row],[Code]],FIND("^",LeaversJoiners[[#This Row],[Code]])-1),LeaversJoiners[[#This Row],[Code]])</f>
        <v>MANGO.IS</v>
      </c>
    </row>
    <row r="716" spans="1:6" x14ac:dyDescent="0.25">
      <c r="A716" t="s">
        <v>4</v>
      </c>
      <c r="B716" t="s">
        <v>853</v>
      </c>
      <c r="C716" t="s">
        <v>854</v>
      </c>
      <c r="D716" s="2">
        <v>40546</v>
      </c>
      <c r="E716">
        <f>IF(RIGHT(LeaversJoiners[[#This Row],[Code]],1)=")",1,0)</f>
        <v>1</v>
      </c>
      <c r="F716" t="str">
        <f>IF(LeaversJoiners[[#This Row],[Sütun1]]=1,LEFT(LeaversJoiners[[#This Row],[Code]],FIND("^",LeaversJoiners[[#This Row],[Code]])-1),LeaversJoiners[[#This Row],[Code]])</f>
        <v>MEMSA.IS</v>
      </c>
    </row>
    <row r="717" spans="1:6" x14ac:dyDescent="0.25">
      <c r="A717" t="s">
        <v>4</v>
      </c>
      <c r="B717" t="s">
        <v>853</v>
      </c>
      <c r="C717" t="s">
        <v>890</v>
      </c>
      <c r="D717" s="2">
        <v>40546</v>
      </c>
      <c r="E717">
        <f>IF(RIGHT(LeaversJoiners[[#This Row],[Code]],1)=")",1,0)</f>
        <v>1</v>
      </c>
      <c r="F717" t="str">
        <f>IF(LeaversJoiners[[#This Row],[Sütun1]]=1,LEFT(LeaversJoiners[[#This Row],[Code]],FIND("^",LeaversJoiners[[#This Row],[Code]])-1),LeaversJoiners[[#This Row],[Code]])</f>
        <v>MEMS1.IS</v>
      </c>
    </row>
    <row r="718" spans="1:6" x14ac:dyDescent="0.25">
      <c r="A718" t="s">
        <v>4</v>
      </c>
      <c r="B718" t="s">
        <v>843</v>
      </c>
      <c r="C718" t="s">
        <v>844</v>
      </c>
      <c r="D718" s="2">
        <v>40546</v>
      </c>
      <c r="E718">
        <f>IF(RIGHT(LeaversJoiners[[#This Row],[Code]],1)=")",1,0)</f>
        <v>1</v>
      </c>
      <c r="F718" t="str">
        <f>IF(LeaversJoiners[[#This Row],[Sütun1]]=1,LEFT(LeaversJoiners[[#This Row],[Code]],FIND("^",LeaversJoiners[[#This Row],[Code]])-1),LeaversJoiners[[#This Row],[Code]])</f>
        <v>MRTGG.IS</v>
      </c>
    </row>
    <row r="719" spans="1:6" x14ac:dyDescent="0.25">
      <c r="A719" t="s">
        <v>4</v>
      </c>
      <c r="B719" t="s">
        <v>705</v>
      </c>
      <c r="C719" t="s">
        <v>706</v>
      </c>
      <c r="D719" s="2">
        <v>40546</v>
      </c>
      <c r="E719">
        <f>IF(RIGHT(LeaversJoiners[[#This Row],[Code]],1)=")",1,0)</f>
        <v>0</v>
      </c>
      <c r="F719" t="str">
        <f>IF(LeaversJoiners[[#This Row],[Sütun1]]=1,LEFT(LeaversJoiners[[#This Row],[Code]],FIND("^",LeaversJoiners[[#This Row],[Code]])-1),LeaversJoiners[[#This Row],[Code]])</f>
        <v xml:space="preserve">BLUME.IS </v>
      </c>
    </row>
    <row r="720" spans="1:6" x14ac:dyDescent="0.25">
      <c r="A720" t="s">
        <v>4</v>
      </c>
      <c r="B720" t="s">
        <v>635</v>
      </c>
      <c r="C720" t="s">
        <v>636</v>
      </c>
      <c r="D720" s="2">
        <v>40546</v>
      </c>
      <c r="E720">
        <f>IF(RIGHT(LeaversJoiners[[#This Row],[Code]],1)=")",1,0)</f>
        <v>0</v>
      </c>
      <c r="F720" t="str">
        <f>IF(LeaversJoiners[[#This Row],[Sütun1]]=1,LEFT(LeaversJoiners[[#This Row],[Code]],FIND("^",LeaversJoiners[[#This Row],[Code]])-1),LeaversJoiners[[#This Row],[Code]])</f>
        <v xml:space="preserve">RALYH.IS </v>
      </c>
    </row>
    <row r="721" spans="1:6" x14ac:dyDescent="0.25">
      <c r="A721" t="s">
        <v>4</v>
      </c>
      <c r="B721" t="s">
        <v>882</v>
      </c>
      <c r="C721" t="s">
        <v>883</v>
      </c>
      <c r="D721" s="2">
        <v>40546</v>
      </c>
      <c r="E721">
        <f>IF(RIGHT(LeaversJoiners[[#This Row],[Code]],1)=")",1,0)</f>
        <v>1</v>
      </c>
      <c r="F721" t="str">
        <f>IF(LeaversJoiners[[#This Row],[Sütun1]]=1,LEFT(LeaversJoiners[[#This Row],[Code]],FIND("^",LeaversJoiners[[#This Row],[Code]])-1),LeaversJoiners[[#This Row],[Code]])</f>
        <v>RANLO.IS</v>
      </c>
    </row>
    <row r="722" spans="1:6" x14ac:dyDescent="0.25">
      <c r="A722" t="s">
        <v>4</v>
      </c>
      <c r="B722" t="s">
        <v>707</v>
      </c>
      <c r="C722" t="s">
        <v>708</v>
      </c>
      <c r="D722" s="2">
        <v>40546</v>
      </c>
      <c r="E722">
        <f>IF(RIGHT(LeaversJoiners[[#This Row],[Code]],1)=")",1,0)</f>
        <v>0</v>
      </c>
      <c r="F722" t="str">
        <f>IF(LeaversJoiners[[#This Row],[Sütun1]]=1,LEFT(LeaversJoiners[[#This Row],[Code]],FIND("^",LeaversJoiners[[#This Row],[Code]])-1),LeaversJoiners[[#This Row],[Code]])</f>
        <v xml:space="preserve">SEKFK.IS </v>
      </c>
    </row>
    <row r="723" spans="1:6" x14ac:dyDescent="0.25">
      <c r="A723" t="s">
        <v>4</v>
      </c>
      <c r="B723" t="s">
        <v>978</v>
      </c>
      <c r="C723" t="s">
        <v>979</v>
      </c>
      <c r="D723" s="2">
        <v>40546</v>
      </c>
      <c r="E723">
        <f>IF(RIGHT(LeaversJoiners[[#This Row],[Code]],1)=")",1,0)</f>
        <v>0</v>
      </c>
      <c r="F723" t="str">
        <f>IF(LeaversJoiners[[#This Row],[Sütun1]]=1,LEFT(LeaversJoiners[[#This Row],[Code]],FIND("^",LeaversJoiners[[#This Row],[Code]])-1),LeaversJoiners[[#This Row],[Code]])</f>
        <v xml:space="preserve">SILVR.IS </v>
      </c>
    </row>
    <row r="724" spans="1:6" x14ac:dyDescent="0.25">
      <c r="A724" t="s">
        <v>4</v>
      </c>
      <c r="B724" t="s">
        <v>687</v>
      </c>
      <c r="C724" t="s">
        <v>688</v>
      </c>
      <c r="D724" s="2">
        <v>40546</v>
      </c>
      <c r="E724">
        <f>IF(RIGHT(LeaversJoiners[[#This Row],[Code]],1)=")",1,0)</f>
        <v>0</v>
      </c>
      <c r="F724" t="str">
        <f>IF(LeaversJoiners[[#This Row],[Sütun1]]=1,LEFT(LeaversJoiners[[#This Row],[Code]],FIND("^",LeaversJoiners[[#This Row],[Code]])-1),LeaversJoiners[[#This Row],[Code]])</f>
        <v xml:space="preserve">SONME.IS </v>
      </c>
    </row>
    <row r="725" spans="1:6" x14ac:dyDescent="0.25">
      <c r="A725" t="s">
        <v>4</v>
      </c>
      <c r="B725" t="s">
        <v>78</v>
      </c>
      <c r="C725" t="s">
        <v>79</v>
      </c>
      <c r="D725" s="2">
        <v>40546</v>
      </c>
      <c r="E725">
        <f>IF(RIGHT(LeaversJoiners[[#This Row],[Code]],1)=")",1,0)</f>
        <v>0</v>
      </c>
      <c r="F725" t="str">
        <f>IF(LeaversJoiners[[#This Row],[Sütun1]]=1,LEFT(LeaversJoiners[[#This Row],[Code]],FIND("^",LeaversJoiners[[#This Row],[Code]])-1),LeaversJoiners[[#This Row],[Code]])</f>
        <v xml:space="preserve">SNPAM.IS </v>
      </c>
    </row>
    <row r="726" spans="1:6" x14ac:dyDescent="0.25">
      <c r="A726" t="s">
        <v>4</v>
      </c>
      <c r="B726" t="s">
        <v>693</v>
      </c>
      <c r="C726" t="s">
        <v>694</v>
      </c>
      <c r="D726" s="2">
        <v>40546</v>
      </c>
      <c r="E726">
        <f>IF(RIGHT(LeaversJoiners[[#This Row],[Code]],1)=")",1,0)</f>
        <v>1</v>
      </c>
      <c r="F726" t="str">
        <f>IF(LeaversJoiners[[#This Row],[Sütun1]]=1,LEFT(LeaversJoiners[[#This Row],[Code]],FIND("^",LeaversJoiners[[#This Row],[Code]])-1),LeaversJoiners[[#This Row],[Code]])</f>
        <v>USAS.IS</v>
      </c>
    </row>
    <row r="727" spans="1:6" x14ac:dyDescent="0.25">
      <c r="A727" t="s">
        <v>4</v>
      </c>
      <c r="B727" t="s">
        <v>368</v>
      </c>
      <c r="C727" t="s">
        <v>369</v>
      </c>
      <c r="D727" s="2">
        <v>40546</v>
      </c>
      <c r="E727">
        <f>IF(RIGHT(LeaversJoiners[[#This Row],[Code]],1)=")",1,0)</f>
        <v>0</v>
      </c>
      <c r="F727" t="str">
        <f>IF(LeaversJoiners[[#This Row],[Sütun1]]=1,LEFT(LeaversJoiners[[#This Row],[Code]],FIND("^",LeaversJoiners[[#This Row],[Code]])-1),LeaversJoiners[[#This Row],[Code]])</f>
        <v xml:space="preserve">UFUK.IS </v>
      </c>
    </row>
    <row r="728" spans="1:6" x14ac:dyDescent="0.25">
      <c r="A728" t="s">
        <v>4</v>
      </c>
      <c r="B728" t="s">
        <v>980</v>
      </c>
      <c r="C728" t="s">
        <v>981</v>
      </c>
      <c r="D728" s="2">
        <v>40528</v>
      </c>
      <c r="E728">
        <f>IF(RIGHT(LeaversJoiners[[#This Row],[Code]],1)=")",1,0)</f>
        <v>0</v>
      </c>
      <c r="F728" t="str">
        <f>IF(LeaversJoiners[[#This Row],[Sütun1]]=1,LEFT(LeaversJoiners[[#This Row],[Code]],FIND("^",LeaversJoiners[[#This Row],[Code]])-1),LeaversJoiners[[#This Row],[Code]])</f>
        <v xml:space="preserve">DOCO.IS </v>
      </c>
    </row>
    <row r="729" spans="1:6" x14ac:dyDescent="0.25">
      <c r="A729" t="s">
        <v>4</v>
      </c>
      <c r="B729" t="s">
        <v>982</v>
      </c>
      <c r="C729" t="s">
        <v>983</v>
      </c>
      <c r="D729" s="2">
        <v>40528</v>
      </c>
      <c r="E729">
        <f>IF(RIGHT(LeaversJoiners[[#This Row],[Code]],1)=")",1,0)</f>
        <v>0</v>
      </c>
      <c r="F729" t="str">
        <f>IF(LeaversJoiners[[#This Row],[Sütun1]]=1,LEFT(LeaversJoiners[[#This Row],[Code]],FIND("^",LeaversJoiners[[#This Row],[Code]])-1),LeaversJoiners[[#This Row],[Code]])</f>
        <v xml:space="preserve">EKGYO.IS </v>
      </c>
    </row>
    <row r="730" spans="1:6" x14ac:dyDescent="0.25">
      <c r="A730" t="s">
        <v>4</v>
      </c>
      <c r="B730" t="s">
        <v>733</v>
      </c>
      <c r="C730" t="s">
        <v>734</v>
      </c>
      <c r="D730" s="2">
        <v>40518</v>
      </c>
      <c r="E730">
        <f>IF(RIGHT(LeaversJoiners[[#This Row],[Code]],1)=")",1,0)</f>
        <v>1</v>
      </c>
      <c r="F730" t="str">
        <f>IF(LeaversJoiners[[#This Row],[Sütun1]]=1,LEFT(LeaversJoiners[[#This Row],[Code]],FIND("^",LeaversJoiners[[#This Row],[Code]])-1),LeaversJoiners[[#This Row],[Code]])</f>
        <v>UYUM.IS</v>
      </c>
    </row>
  </sheetData>
  <phoneticPr fontId="2" type="noConversion"/>
  <pageMargins left="0.5" right="0.5" top="1" bottom="1" header="0.5" footer="0.7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L&amp;J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</dc:creator>
  <cp:lastModifiedBy>Selim Uçar</cp:lastModifiedBy>
  <dcterms:created xsi:type="dcterms:W3CDTF">2026-06-05T11:21:19Z</dcterms:created>
  <dcterms:modified xsi:type="dcterms:W3CDTF">2026-06-05T11:46:27Z</dcterms:modified>
</cp:coreProperties>
</file>